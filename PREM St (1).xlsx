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136387b8c89f60/Desktop/"/>
    </mc:Choice>
  </mc:AlternateContent>
  <xr:revisionPtr revIDLastSave="389" documentId="8_{6EA62264-B719-4141-B753-E2124EA3DB82}" xr6:coauthVersionLast="47" xr6:coauthVersionMax="47" xr10:uidLastSave="{90CF77CF-9DF9-4DEF-8C98-350373786154}"/>
  <bookViews>
    <workbookView xWindow="-110" yWindow="-110" windowWidth="19420" windowHeight="11500" xr2:uid="{00000000-000D-0000-FFFF-FFFF00000000}"/>
  </bookViews>
  <sheets>
    <sheet name="Search results (20)" sheetId="1" r:id="rId1"/>
    <sheet name="DDp90" sheetId="2" r:id="rId2"/>
    <sheet name="DDW%" sheetId="3" r:id="rId3"/>
    <sheet name="ADp90" sheetId="4" r:id="rId4"/>
    <sheet name="ADW%" sheetId="5" r:id="rId5"/>
    <sheet name="Int.p90" sheetId="6" r:id="rId6"/>
    <sheet name="Goalp90" sheetId="7" r:id="rId7"/>
    <sheet name="xGp90" sheetId="8" r:id="rId8"/>
    <sheet name="HeadGoalp90" sheetId="9" r:id="rId9"/>
    <sheet name="Shotp90" sheetId="10" r:id="rId10"/>
    <sheet name="ShotTarget%" sheetId="11" r:id="rId11"/>
    <sheet name="GoalConv%" sheetId="12" r:id="rId12"/>
    <sheet name="Assistp90" sheetId="13" r:id="rId13"/>
    <sheet name="xAp90" sheetId="14" r:id="rId14"/>
    <sheet name="Succ. Dribble %" sheetId="16" r:id="rId15"/>
    <sheet name="Off Duels p90" sheetId="20" r:id="rId16"/>
    <sheet name="Off Duels Won %" sheetId="17" r:id="rId17"/>
    <sheet name="BoxTouch p90" sheetId="18" r:id="rId18"/>
    <sheet name="ProgRuns p90" sheetId="19" r:id="rId19"/>
    <sheet name="RecPass p90" sheetId="21" r:id="rId20"/>
    <sheet name="RecLongPass p90" sheetId="22" r:id="rId21"/>
    <sheet name="ShotAssist p90" sheetId="23" r:id="rId22"/>
    <sheet name="2nd Assist p90" sheetId="24" r:id="rId23"/>
    <sheet name="3rd Assist p90" sheetId="25" r:id="rId24"/>
    <sheet name="KeyPass p90" sheetId="26" r:id="rId25"/>
    <sheet name="PassFinal3rd p90" sheetId="27" r:id="rId26"/>
    <sheet name="PassPenaltyArea p90" sheetId="28" r:id="rId27"/>
    <sheet name="Acc.PassPenArea%" sheetId="29" r:id="rId28"/>
    <sheet name="ProgPass p90" sheetId="30" r:id="rId29"/>
    <sheet name="PenConv%" sheetId="31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C24" i="1"/>
  <c r="B24" i="1"/>
</calcChain>
</file>

<file path=xl/sharedStrings.xml><?xml version="1.0" encoding="utf-8"?>
<sst xmlns="http://schemas.openxmlformats.org/spreadsheetml/2006/main" count="723" uniqueCount="56">
  <si>
    <t>Player</t>
  </si>
  <si>
    <t>Defensive duels per 90</t>
  </si>
  <si>
    <t>Defensive duels won, %</t>
  </si>
  <si>
    <t>Aerial duels per 90</t>
  </si>
  <si>
    <t>Aerial duels won, %</t>
  </si>
  <si>
    <t>Interceptions per 90</t>
  </si>
  <si>
    <t>Goals per 90</t>
  </si>
  <si>
    <t>xG per 90</t>
  </si>
  <si>
    <t>Head goals per 90</t>
  </si>
  <si>
    <t>Shots per 90</t>
  </si>
  <si>
    <t>Shots on target, %</t>
  </si>
  <si>
    <t>Goal conversion, %</t>
  </si>
  <si>
    <t>Assists per 90</t>
  </si>
  <si>
    <t>xA per 90</t>
  </si>
  <si>
    <t>Successful dribbles, %</t>
  </si>
  <si>
    <t>Offensive duels per 90</t>
  </si>
  <si>
    <t>Offensive duels won, %</t>
  </si>
  <si>
    <t>Touches in box per 90</t>
  </si>
  <si>
    <t>Progressive runs per 90</t>
  </si>
  <si>
    <t>Received passes per 90</t>
  </si>
  <si>
    <t>Received long passes per 90</t>
  </si>
  <si>
    <t>Shot assists per 90</t>
  </si>
  <si>
    <t>Second assists per 90</t>
  </si>
  <si>
    <t>Third assists per 90</t>
  </si>
  <si>
    <t>Key passes per 90</t>
  </si>
  <si>
    <t>Passes to final third per 90</t>
  </si>
  <si>
    <t>Passes to penalty area per 90</t>
  </si>
  <si>
    <t>Accurate passes to penalty area, %</t>
  </si>
  <si>
    <t>Progressive passes per 90</t>
  </si>
  <si>
    <t>Penalty conversion, %</t>
  </si>
  <si>
    <t>id</t>
  </si>
  <si>
    <t>E. Haaland</t>
  </si>
  <si>
    <t>V. Gyökeres</t>
  </si>
  <si>
    <t>O. Watkins</t>
  </si>
  <si>
    <t>H. Ekitiké</t>
  </si>
  <si>
    <t>A. Isak</t>
  </si>
  <si>
    <t>J. Mateta</t>
  </si>
  <si>
    <t>Y. Wissa</t>
  </si>
  <si>
    <t>C. Wood</t>
  </si>
  <si>
    <t>Matheus Cunha</t>
  </si>
  <si>
    <t>J. Strand Larsen</t>
  </si>
  <si>
    <t>Evanilson</t>
  </si>
  <si>
    <t>João Pedro</t>
  </si>
  <si>
    <t>Eliezer Mayenda</t>
  </si>
  <si>
    <t>Beto</t>
  </si>
  <si>
    <t>D. Welbeck</t>
  </si>
  <si>
    <t>L. Foster</t>
  </si>
  <si>
    <t>Rodrigo Muniz</t>
  </si>
  <si>
    <t>Richarlison</t>
  </si>
  <si>
    <t>N. Füllkrug</t>
  </si>
  <si>
    <t>L. Nmecha</t>
  </si>
  <si>
    <t xml:space="preserve">*did not play in 
the EPL during the 24/25 season </t>
  </si>
  <si>
    <t>Averages</t>
  </si>
  <si>
    <t xml:space="preserve">Duels </t>
  </si>
  <si>
    <t xml:space="preserve">Attacking Actions </t>
  </si>
  <si>
    <t xml:space="preserve">Averages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</si>
</sst>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name val="Arial"/>
      <family val="1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FEBAB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0" fillId="3" borderId="0" xfId="0" applyFill="1"/>
    <xf numFmtId="2" fontId="0" fillId="8" borderId="0" xfId="0" applyNumberFormat="1" applyFill="1"/>
    <xf numFmtId="2" fontId="0" fillId="0" borderId="0" xfId="0" applyNumberFormat="1"/>
    <xf numFmtId="2" fontId="0" fillId="6" borderId="0" xfId="0" applyNumberFormat="1" applyFill="1"/>
    <xf numFmtId="2" fontId="0" fillId="5" borderId="0" xfId="0" applyNumberFormat="1" applyFill="1"/>
    <xf numFmtId="2" fontId="0" fillId="7" borderId="0" xfId="0" applyNumberFormat="1" applyFill="1"/>
    <xf numFmtId="2" fontId="0" fillId="4" borderId="0" xfId="0" applyNumberFormat="1" applyFill="1"/>
    <xf numFmtId="2" fontId="0" fillId="2" borderId="0" xfId="0" applyNumberFormat="1" applyFill="1"/>
    <xf numFmtId="164" fontId="0" fillId="6" borderId="0" xfId="0" applyNumberFormat="1" applyFill="1"/>
    <xf numFmtId="164" fontId="0" fillId="5" borderId="0" xfId="0" applyNumberFormat="1" applyFill="1"/>
    <xf numFmtId="164" fontId="0" fillId="7" borderId="0" xfId="0" applyNumberFormat="1" applyFill="1"/>
    <xf numFmtId="164" fontId="0" fillId="4" borderId="0" xfId="0" applyNumberFormat="1" applyFill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EBABA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2"/>
  <sheetViews>
    <sheetView tabSelected="1" showOutlineSymbols="0" showWhiteSpace="0" workbookViewId="0">
      <selection activeCell="AE14" sqref="AE14"/>
    </sheetView>
  </sheetViews>
  <sheetFormatPr defaultRowHeight="14" x14ac:dyDescent="0.3"/>
  <cols>
    <col min="1" max="1" width="19.6640625" customWidth="1"/>
    <col min="2" max="2" width="20.6640625" bestFit="1" customWidth="1"/>
    <col min="3" max="3" width="21.75" bestFit="1" customWidth="1"/>
    <col min="4" max="4" width="29" customWidth="1"/>
    <col min="5" max="5" width="17.4140625" bestFit="1" customWidth="1"/>
    <col min="6" max="6" width="17.5" customWidth="1"/>
    <col min="7" max="7" width="15.9140625" customWidth="1"/>
    <col min="8" max="8" width="10.75" bestFit="1" customWidth="1"/>
    <col min="9" max="9" width="16.25" bestFit="1" customWidth="1"/>
    <col min="10" max="10" width="13" bestFit="1" customWidth="1"/>
    <col min="11" max="11" width="16.25" bestFit="1" customWidth="1"/>
    <col min="12" max="12" width="17.33203125" customWidth="1"/>
    <col min="13" max="13" width="12.75" customWidth="1"/>
    <col min="14" max="14" width="10.75" bestFit="1" customWidth="1"/>
    <col min="15" max="15" width="20" customWidth="1"/>
    <col min="16" max="16" width="19.58203125" bestFit="1" customWidth="1"/>
    <col min="17" max="18" width="20.6640625" bestFit="1" customWidth="1"/>
    <col min="19" max="19" width="20.9140625" customWidth="1"/>
    <col min="20" max="20" width="21" customWidth="1"/>
    <col min="21" max="21" width="25.4140625" customWidth="1"/>
    <col min="22" max="22" width="17.08203125" customWidth="1"/>
    <col min="23" max="23" width="19.83203125" customWidth="1"/>
    <col min="24" max="24" width="17.5" customWidth="1"/>
    <col min="25" max="25" width="16.25" bestFit="1" customWidth="1"/>
    <col min="26" max="26" width="23.25" customWidth="1"/>
    <col min="27" max="27" width="25.5" customWidth="1"/>
    <col min="28" max="28" width="30.58203125" customWidth="1"/>
    <col min="29" max="29" width="23.5" customWidth="1"/>
    <col min="30" max="30" width="20.08203125" customWidth="1"/>
    <col min="31" max="31" width="9.6640625" bestFit="1" customWidth="1"/>
  </cols>
  <sheetData>
    <row r="1" spans="1:31" s="1" customFormat="1" ht="5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2" customHeight="1" x14ac:dyDescent="0.3">
      <c r="A2" t="s">
        <v>31</v>
      </c>
      <c r="B2" s="6">
        <v>1.82</v>
      </c>
      <c r="C2" s="7">
        <v>55</v>
      </c>
      <c r="D2" s="7">
        <v>3.76</v>
      </c>
      <c r="E2" s="11">
        <v>51.61</v>
      </c>
      <c r="F2" s="7">
        <v>1.1499999999999999</v>
      </c>
      <c r="G2" s="12">
        <v>0.67</v>
      </c>
      <c r="H2" s="12">
        <v>0.65</v>
      </c>
      <c r="I2" s="7">
        <v>0.12</v>
      </c>
      <c r="J2" s="7">
        <v>3.12</v>
      </c>
      <c r="K2" s="12">
        <v>57.28</v>
      </c>
      <c r="L2" s="7">
        <v>21.359000000000002</v>
      </c>
      <c r="M2" s="7">
        <v>0.06</v>
      </c>
      <c r="N2" s="7">
        <v>0.06</v>
      </c>
      <c r="O2" s="7">
        <v>52.94</v>
      </c>
      <c r="P2" s="6">
        <v>4.76</v>
      </c>
      <c r="Q2" s="7">
        <v>31.85</v>
      </c>
      <c r="R2" s="7">
        <v>4.91</v>
      </c>
      <c r="S2" s="7">
        <v>0.55000000000000004</v>
      </c>
      <c r="T2" s="7">
        <v>8.31</v>
      </c>
      <c r="U2" s="7">
        <v>1.46</v>
      </c>
      <c r="V2" s="7">
        <v>0.57999999999999996</v>
      </c>
      <c r="W2" s="8">
        <v>0</v>
      </c>
      <c r="X2" s="8">
        <v>0</v>
      </c>
      <c r="Y2" s="7">
        <v>0.3</v>
      </c>
      <c r="Z2" s="8">
        <v>0.39</v>
      </c>
      <c r="AA2" s="6">
        <v>0.46</v>
      </c>
      <c r="AB2" s="7">
        <v>66.67</v>
      </c>
      <c r="AC2" s="8">
        <v>0.55000000000000004</v>
      </c>
      <c r="AD2" s="14">
        <v>75</v>
      </c>
      <c r="AE2">
        <v>441484</v>
      </c>
    </row>
    <row r="3" spans="1:31" ht="12" customHeight="1" x14ac:dyDescent="0.3">
      <c r="A3" s="5" t="s">
        <v>32</v>
      </c>
      <c r="B3" s="8">
        <v>1.32</v>
      </c>
      <c r="C3" s="7">
        <v>54.55</v>
      </c>
      <c r="D3" s="6">
        <v>2.19</v>
      </c>
      <c r="E3" s="7">
        <v>42.47</v>
      </c>
      <c r="F3" s="6">
        <v>1.1100000000000001</v>
      </c>
      <c r="G3" s="11">
        <v>1.1399999999999999</v>
      </c>
      <c r="H3" s="11">
        <v>0.94</v>
      </c>
      <c r="I3" s="8">
        <v>0</v>
      </c>
      <c r="J3" s="11">
        <v>4.0199999999999996</v>
      </c>
      <c r="K3" s="9">
        <v>57.46</v>
      </c>
      <c r="L3" s="9">
        <v>29.103999999999999</v>
      </c>
      <c r="M3" s="11">
        <v>0.21</v>
      </c>
      <c r="N3" s="12">
        <v>0.17</v>
      </c>
      <c r="O3" s="7">
        <v>55.34</v>
      </c>
      <c r="P3" s="11">
        <v>16.25</v>
      </c>
      <c r="Q3" s="7">
        <v>39.369999999999997</v>
      </c>
      <c r="R3" s="11">
        <v>6.79</v>
      </c>
      <c r="S3" s="9">
        <v>3.09</v>
      </c>
      <c r="T3" s="7">
        <v>13.84</v>
      </c>
      <c r="U3" s="9">
        <v>2.2200000000000002</v>
      </c>
      <c r="V3" s="9">
        <v>1.47</v>
      </c>
      <c r="W3" s="7">
        <v>0.09</v>
      </c>
      <c r="X3" s="10">
        <v>0.03</v>
      </c>
      <c r="Y3" s="12">
        <v>0.63</v>
      </c>
      <c r="Z3" s="6">
        <v>0.56999999999999995</v>
      </c>
      <c r="AA3" s="7">
        <v>1.53</v>
      </c>
      <c r="AB3" s="7">
        <v>62.75</v>
      </c>
      <c r="AC3" s="7">
        <v>1.1399999999999999</v>
      </c>
      <c r="AD3" s="16">
        <v>100</v>
      </c>
      <c r="AE3">
        <v>413136</v>
      </c>
    </row>
    <row r="4" spans="1:31" ht="12" customHeight="1" x14ac:dyDescent="0.3">
      <c r="A4" t="s">
        <v>33</v>
      </c>
      <c r="B4" s="7">
        <v>2.2000000000000002</v>
      </c>
      <c r="C4" s="7">
        <v>48.57</v>
      </c>
      <c r="D4" s="7">
        <v>4.1100000000000003</v>
      </c>
      <c r="E4" s="7">
        <v>34.35</v>
      </c>
      <c r="F4" s="10">
        <v>0.97</v>
      </c>
      <c r="G4" s="7">
        <v>0.5</v>
      </c>
      <c r="H4" s="7">
        <v>0.54</v>
      </c>
      <c r="I4" s="7">
        <v>0.13</v>
      </c>
      <c r="J4" s="7">
        <v>2.7</v>
      </c>
      <c r="K4" s="7">
        <v>44.19</v>
      </c>
      <c r="L4" s="7">
        <v>18.605</v>
      </c>
      <c r="M4" s="12">
        <v>0.19</v>
      </c>
      <c r="N4" s="7">
        <v>0.1</v>
      </c>
      <c r="O4" s="7">
        <v>45.07</v>
      </c>
      <c r="P4" s="7">
        <v>8.0299999999999994</v>
      </c>
      <c r="Q4" s="7">
        <v>31.25</v>
      </c>
      <c r="R4" s="7">
        <v>4.68</v>
      </c>
      <c r="S4" s="7">
        <v>1.41</v>
      </c>
      <c r="T4" s="7">
        <v>9.98</v>
      </c>
      <c r="U4" s="7">
        <v>1.32</v>
      </c>
      <c r="V4" s="7">
        <v>0.56000000000000005</v>
      </c>
      <c r="W4" s="10">
        <v>0.03</v>
      </c>
      <c r="X4" s="8">
        <v>0</v>
      </c>
      <c r="Y4" s="7">
        <v>0.41</v>
      </c>
      <c r="Z4" s="7">
        <v>0.72</v>
      </c>
      <c r="AA4" s="7">
        <v>1</v>
      </c>
      <c r="AB4" s="7">
        <v>65.63</v>
      </c>
      <c r="AC4" s="6">
        <v>0.75</v>
      </c>
      <c r="AD4" s="16">
        <v>100</v>
      </c>
      <c r="AE4">
        <v>334174</v>
      </c>
    </row>
    <row r="5" spans="1:31" ht="12" customHeight="1" x14ac:dyDescent="0.3">
      <c r="A5" s="5" t="s">
        <v>34</v>
      </c>
      <c r="B5" s="7">
        <v>2.5299999999999998</v>
      </c>
      <c r="C5" s="9">
        <v>62.34</v>
      </c>
      <c r="D5" s="7">
        <v>4.3</v>
      </c>
      <c r="E5" s="7">
        <v>36.64</v>
      </c>
      <c r="F5" s="7">
        <v>1.58</v>
      </c>
      <c r="G5" s="7">
        <v>0.49</v>
      </c>
      <c r="H5" s="9">
        <v>0.69</v>
      </c>
      <c r="I5" s="7">
        <v>7.0000000000000007E-2</v>
      </c>
      <c r="J5" s="9">
        <v>3.68</v>
      </c>
      <c r="K5" s="10">
        <v>39.29</v>
      </c>
      <c r="L5" s="10">
        <v>13.393000000000001</v>
      </c>
      <c r="M5" s="9">
        <v>0.2</v>
      </c>
      <c r="N5" s="9">
        <v>0.18</v>
      </c>
      <c r="O5" s="7">
        <v>53.85</v>
      </c>
      <c r="P5" s="9">
        <v>12.94</v>
      </c>
      <c r="Q5" s="7">
        <v>30.96</v>
      </c>
      <c r="R5" s="9">
        <v>5.39</v>
      </c>
      <c r="S5" s="12">
        <v>3.02</v>
      </c>
      <c r="T5" s="7">
        <v>15.24</v>
      </c>
      <c r="U5" s="12">
        <v>2.0699999999999998</v>
      </c>
      <c r="V5" s="7">
        <v>1.08</v>
      </c>
      <c r="W5" s="11">
        <v>0.13</v>
      </c>
      <c r="X5" s="9">
        <v>7.0000000000000007E-2</v>
      </c>
      <c r="Y5" s="11">
        <v>0.79</v>
      </c>
      <c r="Z5" s="7">
        <v>1.25</v>
      </c>
      <c r="AA5" s="7">
        <v>1.61</v>
      </c>
      <c r="AB5" s="12">
        <v>75.510000000000005</v>
      </c>
      <c r="AC5" s="7">
        <v>1.71</v>
      </c>
      <c r="AD5" s="15">
        <v>33.332999999999998</v>
      </c>
      <c r="AE5">
        <v>-137908</v>
      </c>
    </row>
    <row r="6" spans="1:31" ht="12" customHeight="1" x14ac:dyDescent="0.3">
      <c r="A6" t="s">
        <v>35</v>
      </c>
      <c r="B6" s="7">
        <v>2.16</v>
      </c>
      <c r="C6" s="7">
        <v>48.61</v>
      </c>
      <c r="D6" s="7">
        <v>2.58</v>
      </c>
      <c r="E6" s="10">
        <v>26.74</v>
      </c>
      <c r="F6" s="6">
        <v>1.1100000000000001</v>
      </c>
      <c r="G6" s="9">
        <v>0.69</v>
      </c>
      <c r="H6" s="7">
        <v>0.56999999999999995</v>
      </c>
      <c r="I6" s="7">
        <v>0.12</v>
      </c>
      <c r="J6" s="7">
        <v>2.76</v>
      </c>
      <c r="K6" s="7">
        <v>47.83</v>
      </c>
      <c r="L6" s="7">
        <v>25</v>
      </c>
      <c r="M6" s="7">
        <v>0.15</v>
      </c>
      <c r="N6" s="7">
        <v>0.12</v>
      </c>
      <c r="O6" s="10">
        <v>38.54</v>
      </c>
      <c r="P6" s="7">
        <v>7.1</v>
      </c>
      <c r="Q6" s="7">
        <v>26.58</v>
      </c>
      <c r="R6" s="12">
        <v>4.97</v>
      </c>
      <c r="S6" s="7">
        <v>2.04</v>
      </c>
      <c r="T6" s="7">
        <v>15.06</v>
      </c>
      <c r="U6" s="7">
        <v>1.44</v>
      </c>
      <c r="V6" s="7">
        <v>0.9</v>
      </c>
      <c r="W6" s="10">
        <v>0.03</v>
      </c>
      <c r="X6" s="12">
        <v>0.06</v>
      </c>
      <c r="Y6" s="7">
        <v>0.48</v>
      </c>
      <c r="Z6" s="7">
        <v>1.41</v>
      </c>
      <c r="AA6" s="7">
        <v>1.68</v>
      </c>
      <c r="AB6" s="7">
        <v>53.57</v>
      </c>
      <c r="AC6" s="7">
        <v>1.83</v>
      </c>
      <c r="AD6" s="16">
        <v>100</v>
      </c>
      <c r="AE6">
        <v>422165</v>
      </c>
    </row>
    <row r="7" spans="1:31" ht="12" customHeight="1" x14ac:dyDescent="0.3">
      <c r="A7" t="s">
        <v>36</v>
      </c>
      <c r="B7" s="10">
        <v>1.78</v>
      </c>
      <c r="C7" s="7">
        <v>52.63</v>
      </c>
      <c r="D7" s="7">
        <v>5.54</v>
      </c>
      <c r="E7" s="7">
        <v>32.770000000000003</v>
      </c>
      <c r="F7" s="7">
        <v>1.19</v>
      </c>
      <c r="G7" s="7">
        <v>0.44</v>
      </c>
      <c r="H7" s="6">
        <v>0.33</v>
      </c>
      <c r="I7" s="8">
        <v>0</v>
      </c>
      <c r="J7" s="7">
        <v>1.88</v>
      </c>
      <c r="K7" s="7">
        <v>50</v>
      </c>
      <c r="L7" s="7">
        <v>23.332999999999998</v>
      </c>
      <c r="M7" s="10">
        <v>0.03</v>
      </c>
      <c r="N7" s="7">
        <v>0.08</v>
      </c>
      <c r="O7" s="7">
        <v>64.91</v>
      </c>
      <c r="P7" s="7">
        <v>9.02</v>
      </c>
      <c r="Q7" s="7">
        <v>33.33</v>
      </c>
      <c r="R7" s="10">
        <v>2.85</v>
      </c>
      <c r="S7" s="7">
        <v>1.28</v>
      </c>
      <c r="T7" s="7">
        <v>8.83</v>
      </c>
      <c r="U7" s="7">
        <v>1.28</v>
      </c>
      <c r="V7" s="7">
        <v>0.59</v>
      </c>
      <c r="W7" s="8">
        <v>0</v>
      </c>
      <c r="X7" s="8">
        <v>0</v>
      </c>
      <c r="Y7" s="7">
        <v>0.34</v>
      </c>
      <c r="Z7" s="7">
        <v>1.38</v>
      </c>
      <c r="AA7" s="7">
        <v>1.1299999999999999</v>
      </c>
      <c r="AB7" s="7">
        <v>50</v>
      </c>
      <c r="AC7" s="7">
        <v>1.19</v>
      </c>
      <c r="AD7" s="16">
        <v>100</v>
      </c>
      <c r="AE7">
        <v>395193</v>
      </c>
    </row>
    <row r="8" spans="1:31" ht="12" customHeight="1" x14ac:dyDescent="0.3">
      <c r="A8" t="s">
        <v>37</v>
      </c>
      <c r="B8" s="7">
        <v>2.68</v>
      </c>
      <c r="C8" s="7">
        <v>48.42</v>
      </c>
      <c r="D8" s="7">
        <v>2.2000000000000002</v>
      </c>
      <c r="E8" s="12">
        <v>46.15</v>
      </c>
      <c r="F8" s="7">
        <v>1.55</v>
      </c>
      <c r="G8" s="7">
        <v>0.51</v>
      </c>
      <c r="H8" s="7">
        <v>0.44</v>
      </c>
      <c r="I8" s="7">
        <v>0.11</v>
      </c>
      <c r="J8" s="7">
        <v>2.31</v>
      </c>
      <c r="K8" s="7">
        <v>48.78</v>
      </c>
      <c r="L8" s="7">
        <v>21.951000000000001</v>
      </c>
      <c r="M8" s="7">
        <v>0.06</v>
      </c>
      <c r="N8" s="7">
        <v>0.05</v>
      </c>
      <c r="O8" s="7">
        <v>54.55</v>
      </c>
      <c r="P8" s="7">
        <v>5.9</v>
      </c>
      <c r="Q8" s="9">
        <v>43.06</v>
      </c>
      <c r="R8" s="7">
        <v>3.98</v>
      </c>
      <c r="S8" s="7">
        <v>1.33</v>
      </c>
      <c r="T8" s="7">
        <v>12.96</v>
      </c>
      <c r="U8" s="10">
        <v>0.85</v>
      </c>
      <c r="V8" s="7">
        <v>0.51</v>
      </c>
      <c r="W8" s="12">
        <v>0.11</v>
      </c>
      <c r="X8" s="8">
        <v>0</v>
      </c>
      <c r="Y8" s="7">
        <v>0.34</v>
      </c>
      <c r="Z8" s="7">
        <v>1.72</v>
      </c>
      <c r="AA8" s="7">
        <v>0.79</v>
      </c>
      <c r="AB8" s="7">
        <v>53.57</v>
      </c>
      <c r="AC8" s="7">
        <v>1.75</v>
      </c>
      <c r="AD8" s="13">
        <v>0</v>
      </c>
      <c r="AE8">
        <v>320030</v>
      </c>
    </row>
    <row r="9" spans="1:31" ht="12" customHeight="1" x14ac:dyDescent="0.3">
      <c r="A9" t="s">
        <v>38</v>
      </c>
      <c r="B9" s="7">
        <v>1.92</v>
      </c>
      <c r="C9" s="7">
        <v>52.94</v>
      </c>
      <c r="D9" s="7">
        <v>7.19</v>
      </c>
      <c r="E9" s="7">
        <v>30.59</v>
      </c>
      <c r="F9" s="7">
        <v>1.35</v>
      </c>
      <c r="G9" s="7">
        <v>0.56000000000000005</v>
      </c>
      <c r="H9" s="7">
        <v>0.41</v>
      </c>
      <c r="I9" s="9">
        <v>0.23</v>
      </c>
      <c r="J9" s="6">
        <v>1.78</v>
      </c>
      <c r="K9" s="7">
        <v>53.97</v>
      </c>
      <c r="L9" s="11">
        <v>31.745999999999999</v>
      </c>
      <c r="M9" s="7">
        <v>0.06</v>
      </c>
      <c r="N9" s="7">
        <v>0.05</v>
      </c>
      <c r="O9" s="12">
        <v>66.67</v>
      </c>
      <c r="P9" s="8">
        <v>3.63</v>
      </c>
      <c r="Q9" s="7">
        <v>29.46</v>
      </c>
      <c r="R9" s="8">
        <v>2.76</v>
      </c>
      <c r="S9" s="10">
        <v>0.28000000000000003</v>
      </c>
      <c r="T9" s="7">
        <v>8.93</v>
      </c>
      <c r="U9" s="7">
        <v>1.86</v>
      </c>
      <c r="V9" s="7">
        <v>0.34</v>
      </c>
      <c r="W9" s="7">
        <v>0.06</v>
      </c>
      <c r="X9" s="10">
        <v>0.03</v>
      </c>
      <c r="Y9" s="6">
        <v>0.14000000000000001</v>
      </c>
      <c r="Z9" s="7">
        <v>1.1599999999999999</v>
      </c>
      <c r="AA9" s="7">
        <v>0.48</v>
      </c>
      <c r="AB9" s="7">
        <v>70.59</v>
      </c>
      <c r="AC9" s="7">
        <v>1.3</v>
      </c>
      <c r="AD9" s="16">
        <v>100</v>
      </c>
      <c r="AE9">
        <v>76918</v>
      </c>
    </row>
    <row r="10" spans="1:31" ht="12" customHeight="1" x14ac:dyDescent="0.3">
      <c r="A10" t="s">
        <v>39</v>
      </c>
      <c r="B10" s="11">
        <v>4.96</v>
      </c>
      <c r="C10" s="12">
        <v>61.01</v>
      </c>
      <c r="D10" s="8">
        <v>1.72</v>
      </c>
      <c r="E10" s="6">
        <v>27.27</v>
      </c>
      <c r="F10" s="11">
        <v>2.5299999999999998</v>
      </c>
      <c r="G10" s="7">
        <v>0.47</v>
      </c>
      <c r="H10" s="10">
        <v>0.31</v>
      </c>
      <c r="I10" s="8">
        <v>0</v>
      </c>
      <c r="J10" s="12">
        <v>3.25</v>
      </c>
      <c r="K10" s="7">
        <v>41.35</v>
      </c>
      <c r="L10" s="6">
        <v>14.423</v>
      </c>
      <c r="M10" s="12">
        <v>0.19</v>
      </c>
      <c r="N10" s="11">
        <v>0.21</v>
      </c>
      <c r="O10" s="7">
        <v>51.61</v>
      </c>
      <c r="P10" s="7">
        <v>12.02</v>
      </c>
      <c r="Q10" s="11">
        <v>45.97</v>
      </c>
      <c r="R10" s="7">
        <v>3.25</v>
      </c>
      <c r="S10" s="11">
        <v>3.34</v>
      </c>
      <c r="T10" s="11">
        <v>22.85</v>
      </c>
      <c r="U10" s="7">
        <v>1.37</v>
      </c>
      <c r="V10" s="11">
        <v>1.56</v>
      </c>
      <c r="W10" s="10">
        <v>0.03</v>
      </c>
      <c r="X10" s="8">
        <v>0</v>
      </c>
      <c r="Y10" s="9">
        <v>0.78</v>
      </c>
      <c r="Z10" s="11">
        <v>3.59</v>
      </c>
      <c r="AA10" s="11">
        <v>3.68</v>
      </c>
      <c r="AB10" s="7">
        <v>57.63</v>
      </c>
      <c r="AC10" s="11">
        <v>4.96</v>
      </c>
      <c r="AD10" s="13">
        <v>0</v>
      </c>
      <c r="AE10">
        <v>491026</v>
      </c>
    </row>
    <row r="11" spans="1:31" ht="12" customHeight="1" x14ac:dyDescent="0.3">
      <c r="A11" t="s">
        <v>40</v>
      </c>
      <c r="B11" s="7">
        <v>2.91</v>
      </c>
      <c r="C11" s="7">
        <v>49.45</v>
      </c>
      <c r="D11" s="7">
        <v>5.63</v>
      </c>
      <c r="E11" s="7">
        <v>35.799999999999997</v>
      </c>
      <c r="F11" s="7">
        <v>1.6</v>
      </c>
      <c r="G11" s="7">
        <v>0.45</v>
      </c>
      <c r="H11" s="7">
        <v>0.33</v>
      </c>
      <c r="I11" s="7">
        <v>0.1</v>
      </c>
      <c r="J11" s="10">
        <v>1.6</v>
      </c>
      <c r="K11" s="11">
        <v>68</v>
      </c>
      <c r="L11" s="12">
        <v>28</v>
      </c>
      <c r="M11" s="7">
        <v>0.1</v>
      </c>
      <c r="N11" s="7">
        <v>7.0000000000000007E-2</v>
      </c>
      <c r="O11" s="7">
        <v>47.83</v>
      </c>
      <c r="P11" s="7">
        <v>6.69</v>
      </c>
      <c r="Q11" s="8">
        <v>21.05</v>
      </c>
      <c r="R11" s="7">
        <v>3.14</v>
      </c>
      <c r="S11" s="7">
        <v>0.51</v>
      </c>
      <c r="T11" s="7">
        <v>8.4499999999999993</v>
      </c>
      <c r="U11" s="7">
        <v>1.76</v>
      </c>
      <c r="V11" s="7">
        <v>0.48</v>
      </c>
      <c r="W11" s="7">
        <v>0.06</v>
      </c>
      <c r="X11" s="10">
        <v>0.03</v>
      </c>
      <c r="Y11" s="7">
        <v>0.32</v>
      </c>
      <c r="Z11" s="7">
        <v>0.8</v>
      </c>
      <c r="AA11" s="8">
        <v>0.35</v>
      </c>
      <c r="AB11" s="10">
        <v>36.36</v>
      </c>
      <c r="AC11" s="7">
        <v>1.5</v>
      </c>
      <c r="AD11" s="13">
        <v>0</v>
      </c>
      <c r="AE11">
        <v>461807</v>
      </c>
    </row>
    <row r="12" spans="1:31" ht="12" customHeight="1" x14ac:dyDescent="0.3">
      <c r="A12" t="s">
        <v>41</v>
      </c>
      <c r="B12" s="7">
        <v>2.68</v>
      </c>
      <c r="C12" s="6">
        <v>45.95</v>
      </c>
      <c r="D12" s="7">
        <v>4.16</v>
      </c>
      <c r="E12" s="7">
        <v>32.17</v>
      </c>
      <c r="F12" s="7">
        <v>1.19</v>
      </c>
      <c r="G12" s="7">
        <v>0.36</v>
      </c>
      <c r="H12" s="7">
        <v>0.46</v>
      </c>
      <c r="I12" s="6">
        <v>0.04</v>
      </c>
      <c r="J12" s="7">
        <v>2.42</v>
      </c>
      <c r="K12" s="7">
        <v>46.27</v>
      </c>
      <c r="L12" s="7">
        <v>14.925000000000001</v>
      </c>
      <c r="M12" s="6">
        <v>0.04</v>
      </c>
      <c r="N12" s="7">
        <v>0.06</v>
      </c>
      <c r="O12" s="12">
        <v>66.67</v>
      </c>
      <c r="P12" s="7">
        <v>5.0999999999999996</v>
      </c>
      <c r="Q12" s="12">
        <v>41.84</v>
      </c>
      <c r="R12" s="7">
        <v>4.49</v>
      </c>
      <c r="S12" s="7">
        <v>0.9</v>
      </c>
      <c r="T12" s="7">
        <v>8.18</v>
      </c>
      <c r="U12" s="7">
        <v>1.85</v>
      </c>
      <c r="V12" s="7">
        <v>0.65</v>
      </c>
      <c r="W12" s="6">
        <v>0.04</v>
      </c>
      <c r="X12" s="6">
        <v>0.04</v>
      </c>
      <c r="Y12" s="7">
        <v>0.18</v>
      </c>
      <c r="Z12" s="7">
        <v>0.76</v>
      </c>
      <c r="AA12" s="7">
        <v>0.47</v>
      </c>
      <c r="AB12" s="7">
        <v>46.15</v>
      </c>
      <c r="AC12" s="7">
        <v>0.76</v>
      </c>
      <c r="AD12" s="13">
        <v>0</v>
      </c>
      <c r="AE12">
        <v>-49496</v>
      </c>
    </row>
    <row r="13" spans="1:31" ht="12" customHeight="1" x14ac:dyDescent="0.3">
      <c r="A13" t="s">
        <v>42</v>
      </c>
      <c r="B13" s="7">
        <v>2.66</v>
      </c>
      <c r="C13" s="7">
        <v>57.81</v>
      </c>
      <c r="D13" s="7">
        <v>3.7</v>
      </c>
      <c r="E13" s="7">
        <v>42.7</v>
      </c>
      <c r="F13" s="7">
        <v>1.54</v>
      </c>
      <c r="G13" s="7">
        <v>0.42</v>
      </c>
      <c r="H13" s="7">
        <v>0.43</v>
      </c>
      <c r="I13" s="6">
        <v>0.04</v>
      </c>
      <c r="J13" s="7">
        <v>1.87</v>
      </c>
      <c r="K13" s="7">
        <v>42.22</v>
      </c>
      <c r="L13" s="7">
        <v>22.222000000000001</v>
      </c>
      <c r="M13" s="7">
        <v>0.17</v>
      </c>
      <c r="N13" s="7">
        <v>0.14000000000000001</v>
      </c>
      <c r="O13" s="7">
        <v>47.06</v>
      </c>
      <c r="P13" s="12">
        <v>12.3</v>
      </c>
      <c r="Q13" s="7">
        <v>33.78</v>
      </c>
      <c r="R13" s="7">
        <v>4.12</v>
      </c>
      <c r="S13" s="7">
        <v>2.12</v>
      </c>
      <c r="T13" s="9">
        <v>19.45</v>
      </c>
      <c r="U13" s="7">
        <v>1.29</v>
      </c>
      <c r="V13" s="12">
        <v>1.1599999999999999</v>
      </c>
      <c r="W13" s="8">
        <v>0</v>
      </c>
      <c r="X13" s="11">
        <v>0.08</v>
      </c>
      <c r="Y13" s="11">
        <v>0.79</v>
      </c>
      <c r="Z13" s="9">
        <v>2.7</v>
      </c>
      <c r="AA13" s="9">
        <v>2.4900000000000002</v>
      </c>
      <c r="AB13" s="7">
        <v>51.67</v>
      </c>
      <c r="AC13" s="9">
        <v>3.03</v>
      </c>
      <c r="AD13" s="16">
        <v>100</v>
      </c>
      <c r="AE13">
        <v>-114340</v>
      </c>
    </row>
    <row r="14" spans="1:31" ht="12" customHeight="1" x14ac:dyDescent="0.3">
      <c r="A14" s="5" t="s">
        <v>43</v>
      </c>
      <c r="B14" s="12">
        <v>3.63</v>
      </c>
      <c r="C14" s="7">
        <v>53.64</v>
      </c>
      <c r="D14" s="7">
        <v>3.76</v>
      </c>
      <c r="E14" s="8">
        <v>15.79</v>
      </c>
      <c r="F14" s="7">
        <v>1.1499999999999999</v>
      </c>
      <c r="G14" s="6">
        <v>0.33</v>
      </c>
      <c r="H14" s="6">
        <v>0.33</v>
      </c>
      <c r="I14" s="10">
        <v>0.03</v>
      </c>
      <c r="J14" s="7">
        <v>1.95</v>
      </c>
      <c r="K14" s="7">
        <v>49.15</v>
      </c>
      <c r="L14" s="7">
        <v>16.949000000000002</v>
      </c>
      <c r="M14" s="7">
        <v>0.1</v>
      </c>
      <c r="N14" s="7">
        <v>0.11</v>
      </c>
      <c r="O14" s="7">
        <v>56.6</v>
      </c>
      <c r="P14" s="7">
        <v>11.84</v>
      </c>
      <c r="Q14" s="7">
        <v>39.83</v>
      </c>
      <c r="R14" s="7">
        <v>3.76</v>
      </c>
      <c r="S14" s="7">
        <v>2.94</v>
      </c>
      <c r="T14" s="10">
        <v>7.06</v>
      </c>
      <c r="U14" s="7">
        <v>1.1200000000000001</v>
      </c>
      <c r="V14" s="7">
        <v>0.56000000000000005</v>
      </c>
      <c r="W14" s="8">
        <v>0</v>
      </c>
      <c r="X14" s="8">
        <v>0</v>
      </c>
      <c r="Y14" s="7">
        <v>0.46</v>
      </c>
      <c r="Z14" s="10">
        <v>0.56000000000000005</v>
      </c>
      <c r="AA14" s="7">
        <v>0.82</v>
      </c>
      <c r="AB14" s="7">
        <v>52</v>
      </c>
      <c r="AC14" s="7">
        <v>0.92</v>
      </c>
      <c r="AD14" s="13">
        <v>0</v>
      </c>
      <c r="AE14">
        <v>-313143</v>
      </c>
    </row>
    <row r="15" spans="1:31" ht="12" customHeight="1" x14ac:dyDescent="0.3">
      <c r="A15" t="s">
        <v>44</v>
      </c>
      <c r="B15" s="7">
        <v>2.93</v>
      </c>
      <c r="C15" s="7">
        <v>53.57</v>
      </c>
      <c r="D15" s="9">
        <v>10.97</v>
      </c>
      <c r="E15" s="7">
        <v>41.43</v>
      </c>
      <c r="F15" s="7">
        <v>1.62</v>
      </c>
      <c r="G15" s="7">
        <v>0.42</v>
      </c>
      <c r="H15" s="7">
        <v>0.37</v>
      </c>
      <c r="I15" s="7">
        <v>0.1</v>
      </c>
      <c r="J15" s="7">
        <v>2.2999999999999998</v>
      </c>
      <c r="K15" s="7">
        <v>50</v>
      </c>
      <c r="L15" s="7">
        <v>18.181999999999999</v>
      </c>
      <c r="M15" s="8">
        <v>0</v>
      </c>
      <c r="N15" s="10">
        <v>0.03</v>
      </c>
      <c r="O15" s="6">
        <v>39.47</v>
      </c>
      <c r="P15" s="7">
        <v>10.29</v>
      </c>
      <c r="Q15" s="10">
        <v>25.38</v>
      </c>
      <c r="R15" s="7">
        <v>3.6</v>
      </c>
      <c r="S15" s="7">
        <v>1.1499999999999999</v>
      </c>
      <c r="T15" s="6">
        <v>7.78</v>
      </c>
      <c r="U15" s="7">
        <v>1.93</v>
      </c>
      <c r="V15" s="7">
        <v>0.47</v>
      </c>
      <c r="W15" s="7">
        <v>0.05</v>
      </c>
      <c r="X15" s="8">
        <v>0</v>
      </c>
      <c r="Y15" s="10">
        <v>0.1</v>
      </c>
      <c r="Z15" s="7">
        <v>0.84</v>
      </c>
      <c r="AA15" s="7">
        <v>0.56999999999999995</v>
      </c>
      <c r="AB15" s="7">
        <v>72.73</v>
      </c>
      <c r="AC15" s="7">
        <v>0.84</v>
      </c>
      <c r="AD15" s="13">
        <v>0</v>
      </c>
      <c r="AE15">
        <v>-95538</v>
      </c>
    </row>
    <row r="16" spans="1:31" ht="12" customHeight="1" x14ac:dyDescent="0.3">
      <c r="A16" t="s">
        <v>45</v>
      </c>
      <c r="B16" s="7">
        <v>2.7</v>
      </c>
      <c r="C16" s="11">
        <v>64.290000000000006</v>
      </c>
      <c r="D16" s="10">
        <v>1.96</v>
      </c>
      <c r="E16" s="7">
        <v>33.33</v>
      </c>
      <c r="F16" s="12">
        <v>1.66</v>
      </c>
      <c r="G16" s="7">
        <v>0.39</v>
      </c>
      <c r="H16" s="7">
        <v>0.37</v>
      </c>
      <c r="I16" s="7">
        <v>0.08</v>
      </c>
      <c r="J16" s="7">
        <v>2.16</v>
      </c>
      <c r="K16" s="6">
        <v>41.07</v>
      </c>
      <c r="L16" s="7">
        <v>17.856999999999999</v>
      </c>
      <c r="M16" s="7">
        <v>0.15</v>
      </c>
      <c r="N16" s="7">
        <v>0.06</v>
      </c>
      <c r="O16" s="7">
        <v>46.43</v>
      </c>
      <c r="P16" s="7">
        <v>6.24</v>
      </c>
      <c r="Q16" s="6">
        <v>25.93</v>
      </c>
      <c r="R16" s="7">
        <v>3.47</v>
      </c>
      <c r="S16" s="7">
        <v>0.5</v>
      </c>
      <c r="T16" s="7">
        <v>15.03</v>
      </c>
      <c r="U16" s="8">
        <v>0.5</v>
      </c>
      <c r="V16" s="7">
        <v>0.57999999999999996</v>
      </c>
      <c r="W16" s="9">
        <v>0.12</v>
      </c>
      <c r="X16" s="6">
        <v>0.04</v>
      </c>
      <c r="Y16" s="7">
        <v>0.23</v>
      </c>
      <c r="Z16" s="7">
        <v>0.85</v>
      </c>
      <c r="AA16" s="7">
        <v>0.81</v>
      </c>
      <c r="AB16" s="9">
        <v>76.19</v>
      </c>
      <c r="AC16" s="7">
        <v>1.1200000000000001</v>
      </c>
      <c r="AD16" s="16">
        <v>100</v>
      </c>
      <c r="AE16">
        <v>53886</v>
      </c>
    </row>
    <row r="17" spans="1:31" ht="12" customHeight="1" x14ac:dyDescent="0.3">
      <c r="A17" s="5" t="s">
        <v>46</v>
      </c>
      <c r="B17" s="9">
        <v>3.88</v>
      </c>
      <c r="C17" s="7">
        <v>55.41</v>
      </c>
      <c r="D17" s="7">
        <v>6.39</v>
      </c>
      <c r="E17" s="7">
        <v>27.87</v>
      </c>
      <c r="F17" s="7">
        <v>1.31</v>
      </c>
      <c r="G17" s="8">
        <v>0.1</v>
      </c>
      <c r="H17" s="7">
        <v>0.28000000000000003</v>
      </c>
      <c r="I17" s="7">
        <v>0.05</v>
      </c>
      <c r="J17" s="7">
        <v>1.89</v>
      </c>
      <c r="K17" s="8">
        <v>36.11</v>
      </c>
      <c r="L17" s="8">
        <v>5.556</v>
      </c>
      <c r="M17" s="7">
        <v>0.16</v>
      </c>
      <c r="N17" s="7">
        <v>7.0000000000000007E-2</v>
      </c>
      <c r="O17" s="7">
        <v>60.87</v>
      </c>
      <c r="P17" s="7">
        <v>9.27</v>
      </c>
      <c r="Q17" s="7">
        <v>32.200000000000003</v>
      </c>
      <c r="R17" s="7">
        <v>3.25</v>
      </c>
      <c r="S17" s="7">
        <v>1.62</v>
      </c>
      <c r="T17" s="12">
        <v>16.87</v>
      </c>
      <c r="U17" s="7">
        <v>1.73</v>
      </c>
      <c r="V17" s="7">
        <v>0.42</v>
      </c>
      <c r="W17" s="8">
        <v>0</v>
      </c>
      <c r="X17" s="8">
        <v>0</v>
      </c>
      <c r="Y17" s="7">
        <v>0.31</v>
      </c>
      <c r="Z17" s="7">
        <v>0.79</v>
      </c>
      <c r="AA17" s="7">
        <v>1.26</v>
      </c>
      <c r="AB17" s="6">
        <v>41.67</v>
      </c>
      <c r="AC17" s="7">
        <v>1.78</v>
      </c>
      <c r="AD17" s="13">
        <v>0</v>
      </c>
      <c r="AE17">
        <v>505193</v>
      </c>
    </row>
    <row r="18" spans="1:31" ht="12" customHeight="1" x14ac:dyDescent="0.3">
      <c r="A18" t="s">
        <v>47</v>
      </c>
      <c r="B18" s="7">
        <v>1.89</v>
      </c>
      <c r="C18" s="10">
        <v>45.83</v>
      </c>
      <c r="D18" s="11">
        <v>11.21</v>
      </c>
      <c r="E18" s="7">
        <v>44.37</v>
      </c>
      <c r="F18" s="12">
        <v>1.66</v>
      </c>
      <c r="G18" s="7">
        <v>0.63</v>
      </c>
      <c r="H18" s="7">
        <v>0.59</v>
      </c>
      <c r="I18" s="8">
        <v>0</v>
      </c>
      <c r="J18" s="7">
        <v>2.84</v>
      </c>
      <c r="K18" s="7">
        <v>50</v>
      </c>
      <c r="L18" s="7">
        <v>22.222000000000001</v>
      </c>
      <c r="M18" s="8">
        <v>0</v>
      </c>
      <c r="N18" s="8">
        <v>0</v>
      </c>
      <c r="O18" s="7">
        <v>56.25</v>
      </c>
      <c r="P18" s="7">
        <v>9.6300000000000008</v>
      </c>
      <c r="Q18" s="7">
        <v>32.79</v>
      </c>
      <c r="R18" s="7">
        <v>4.03</v>
      </c>
      <c r="S18" s="6">
        <v>0.39</v>
      </c>
      <c r="T18" s="8">
        <v>5.84</v>
      </c>
      <c r="U18" s="7">
        <v>1.66</v>
      </c>
      <c r="V18" s="8">
        <v>0.08</v>
      </c>
      <c r="W18" s="8">
        <v>0</v>
      </c>
      <c r="X18" s="8">
        <v>0</v>
      </c>
      <c r="Y18" s="8">
        <v>0</v>
      </c>
      <c r="Z18" s="7">
        <v>1.82</v>
      </c>
      <c r="AA18" s="10">
        <v>0.39</v>
      </c>
      <c r="AB18" s="7">
        <v>60</v>
      </c>
      <c r="AC18" s="7">
        <v>0.95</v>
      </c>
      <c r="AD18" s="13">
        <v>0</v>
      </c>
      <c r="AE18">
        <v>-50849</v>
      </c>
    </row>
    <row r="19" spans="1:31" ht="12" customHeight="1" x14ac:dyDescent="0.3">
      <c r="A19" t="s">
        <v>48</v>
      </c>
      <c r="B19" s="7">
        <v>2.82</v>
      </c>
      <c r="C19" s="8">
        <v>44.44</v>
      </c>
      <c r="D19" s="7">
        <v>5.32</v>
      </c>
      <c r="E19" s="7">
        <v>32.35</v>
      </c>
      <c r="F19" s="9">
        <v>1.88</v>
      </c>
      <c r="G19" s="7">
        <v>0.63</v>
      </c>
      <c r="H19" s="7">
        <v>0.56999999999999995</v>
      </c>
      <c r="I19" s="11">
        <v>0.47</v>
      </c>
      <c r="J19" s="7">
        <v>2.5</v>
      </c>
      <c r="K19" s="7">
        <v>43.75</v>
      </c>
      <c r="L19" s="7">
        <v>25</v>
      </c>
      <c r="M19" s="7">
        <v>0.16</v>
      </c>
      <c r="N19" s="7">
        <v>0.08</v>
      </c>
      <c r="O19" s="8">
        <v>25</v>
      </c>
      <c r="P19" s="7">
        <v>7.83</v>
      </c>
      <c r="Q19" s="7">
        <v>36</v>
      </c>
      <c r="R19" s="7">
        <v>4.07</v>
      </c>
      <c r="S19" s="7">
        <v>1.1000000000000001</v>
      </c>
      <c r="T19" s="7">
        <v>9.5500000000000007</v>
      </c>
      <c r="U19" s="6">
        <v>1.1000000000000001</v>
      </c>
      <c r="V19" s="10">
        <v>0.31</v>
      </c>
      <c r="W19" s="8">
        <v>0</v>
      </c>
      <c r="X19" s="8">
        <v>0</v>
      </c>
      <c r="Y19" s="7">
        <v>0.16</v>
      </c>
      <c r="Z19" s="7">
        <v>1.25</v>
      </c>
      <c r="AA19" s="7">
        <v>0.78</v>
      </c>
      <c r="AB19" s="11">
        <v>80</v>
      </c>
      <c r="AC19" s="12">
        <v>2.0299999999999998</v>
      </c>
      <c r="AD19" s="13">
        <v>0</v>
      </c>
      <c r="AE19">
        <v>407737</v>
      </c>
    </row>
    <row r="20" spans="1:31" ht="12" customHeight="1" x14ac:dyDescent="0.3">
      <c r="A20" t="s">
        <v>49</v>
      </c>
      <c r="B20" s="7">
        <v>2.4</v>
      </c>
      <c r="C20" s="7">
        <v>50</v>
      </c>
      <c r="D20" s="12">
        <v>9.5</v>
      </c>
      <c r="E20" s="7">
        <v>37.89</v>
      </c>
      <c r="F20" s="8">
        <v>0.9</v>
      </c>
      <c r="G20" s="10">
        <v>0.3</v>
      </c>
      <c r="H20" s="8">
        <v>0.14000000000000001</v>
      </c>
      <c r="I20" s="12">
        <v>0.2</v>
      </c>
      <c r="J20" s="8">
        <v>1.2</v>
      </c>
      <c r="K20" s="7">
        <v>50</v>
      </c>
      <c r="L20" s="7">
        <v>25</v>
      </c>
      <c r="M20" s="9">
        <v>0.2</v>
      </c>
      <c r="N20" s="7">
        <v>0.08</v>
      </c>
      <c r="O20" s="11">
        <v>100</v>
      </c>
      <c r="P20" s="10">
        <v>4.0999999999999996</v>
      </c>
      <c r="Q20" s="7">
        <v>31.71</v>
      </c>
      <c r="R20" s="6">
        <v>3</v>
      </c>
      <c r="S20" s="8">
        <v>0.2</v>
      </c>
      <c r="T20" s="7">
        <v>11.5</v>
      </c>
      <c r="U20" s="7">
        <v>1.7</v>
      </c>
      <c r="V20" s="7">
        <v>0.8</v>
      </c>
      <c r="W20" s="8">
        <v>0</v>
      </c>
      <c r="X20" s="8">
        <v>0</v>
      </c>
      <c r="Y20" s="7">
        <v>0.4</v>
      </c>
      <c r="Z20" s="12">
        <v>2.4</v>
      </c>
      <c r="AA20" s="7">
        <v>1.3</v>
      </c>
      <c r="AB20" s="7">
        <v>46.15</v>
      </c>
      <c r="AC20" s="7">
        <v>1.5</v>
      </c>
      <c r="AD20" s="13">
        <v>0</v>
      </c>
      <c r="AE20">
        <v>166369</v>
      </c>
    </row>
    <row r="21" spans="1:31" ht="12" customHeight="1" x14ac:dyDescent="0.3">
      <c r="A21" s="5" t="s">
        <v>50</v>
      </c>
      <c r="B21" s="7">
        <v>2.25</v>
      </c>
      <c r="C21" s="7">
        <v>50</v>
      </c>
      <c r="D21" s="7">
        <v>5.64</v>
      </c>
      <c r="E21" s="9">
        <v>51.43</v>
      </c>
      <c r="F21" s="7">
        <v>1.29</v>
      </c>
      <c r="G21" s="7">
        <v>0.48</v>
      </c>
      <c r="H21" s="7">
        <v>0.53</v>
      </c>
      <c r="I21" s="8">
        <v>0</v>
      </c>
      <c r="J21" s="7">
        <v>2.74</v>
      </c>
      <c r="K21" s="7">
        <v>41.18</v>
      </c>
      <c r="L21" s="7">
        <v>17.646999999999998</v>
      </c>
      <c r="M21" s="8">
        <v>0</v>
      </c>
      <c r="N21" s="6">
        <v>0.04</v>
      </c>
      <c r="O21" s="9">
        <v>78.569999999999993</v>
      </c>
      <c r="P21" s="7">
        <v>10.63</v>
      </c>
      <c r="Q21" s="7">
        <v>36.36</v>
      </c>
      <c r="R21" s="7">
        <v>3.22</v>
      </c>
      <c r="S21" s="7">
        <v>0.97</v>
      </c>
      <c r="T21" s="7">
        <v>10.47</v>
      </c>
      <c r="U21" s="11">
        <v>2.42</v>
      </c>
      <c r="V21" s="6">
        <v>0.32</v>
      </c>
      <c r="W21" s="8">
        <v>0</v>
      </c>
      <c r="X21" s="8">
        <v>0</v>
      </c>
      <c r="Y21" s="8">
        <v>0</v>
      </c>
      <c r="Z21" s="7">
        <v>0.81</v>
      </c>
      <c r="AA21" s="12">
        <v>1.77</v>
      </c>
      <c r="AB21" s="8">
        <v>27.27</v>
      </c>
      <c r="AC21" s="10">
        <v>0.64</v>
      </c>
      <c r="AD21" s="13">
        <v>0</v>
      </c>
      <c r="AE21">
        <v>387389</v>
      </c>
    </row>
    <row r="24" spans="1:31" s="4" customFormat="1" x14ac:dyDescent="0.3">
      <c r="A24" s="3" t="s">
        <v>52</v>
      </c>
      <c r="B24" s="4">
        <f>AVERAGE(B2:B21)</f>
        <v>2.6060000000000003</v>
      </c>
      <c r="C24" s="4">
        <f>AVERAGE(C2:C21)</f>
        <v>52.722999999999999</v>
      </c>
      <c r="D24" s="4">
        <f t="shared" ref="D24:AD24" si="0">AVERAGE(D2:D21)</f>
        <v>5.0914999999999999</v>
      </c>
      <c r="E24" s="4">
        <f t="shared" si="0"/>
        <v>36.186</v>
      </c>
      <c r="F24" s="4">
        <f t="shared" si="0"/>
        <v>1.4169999999999996</v>
      </c>
      <c r="G24" s="4">
        <f t="shared" si="0"/>
        <v>0.49900000000000011</v>
      </c>
      <c r="H24" s="4">
        <f t="shared" si="0"/>
        <v>0.46400000000000008</v>
      </c>
      <c r="I24" s="4">
        <f t="shared" si="0"/>
        <v>9.4500000000000001E-2</v>
      </c>
      <c r="J24" s="4">
        <f t="shared" si="0"/>
        <v>2.4485000000000001</v>
      </c>
      <c r="K24" s="4">
        <f t="shared" si="0"/>
        <v>47.895000000000003</v>
      </c>
      <c r="L24" s="4">
        <f t="shared" si="0"/>
        <v>20.623699999999996</v>
      </c>
      <c r="M24" s="4">
        <f t="shared" si="0"/>
        <v>0.11150000000000002</v>
      </c>
      <c r="N24" s="4">
        <f t="shared" si="0"/>
        <v>8.8000000000000023E-2</v>
      </c>
      <c r="O24" s="4">
        <f t="shared" si="0"/>
        <v>55.41149999999999</v>
      </c>
      <c r="P24" s="4">
        <f t="shared" si="0"/>
        <v>8.6784999999999997</v>
      </c>
      <c r="Q24" s="4">
        <f t="shared" si="0"/>
        <v>33.434999999999995</v>
      </c>
      <c r="R24" s="4">
        <f t="shared" si="0"/>
        <v>3.9864999999999995</v>
      </c>
      <c r="S24" s="4">
        <f t="shared" si="0"/>
        <v>1.4369999999999998</v>
      </c>
      <c r="T24" s="4">
        <f t="shared" si="0"/>
        <v>11.809000000000001</v>
      </c>
      <c r="U24" s="4">
        <f t="shared" si="0"/>
        <v>1.5465</v>
      </c>
      <c r="V24" s="4">
        <f t="shared" si="0"/>
        <v>0.67100000000000015</v>
      </c>
      <c r="W24" s="4">
        <f t="shared" si="0"/>
        <v>3.7500000000000006E-2</v>
      </c>
      <c r="X24" s="4">
        <f t="shared" si="0"/>
        <v>1.9E-2</v>
      </c>
      <c r="Y24" s="4">
        <f t="shared" si="0"/>
        <v>0.35799999999999998</v>
      </c>
      <c r="Z24" s="4">
        <f t="shared" si="0"/>
        <v>1.2884999999999998</v>
      </c>
      <c r="AA24" s="4">
        <f t="shared" si="0"/>
        <v>1.1685000000000001</v>
      </c>
      <c r="AB24" s="4">
        <f t="shared" si="0"/>
        <v>57.305500000000009</v>
      </c>
      <c r="AC24" s="4">
        <f t="shared" si="0"/>
        <v>1.5125000000000004</v>
      </c>
      <c r="AD24" s="4">
        <f t="shared" si="0"/>
        <v>40.416649999999997</v>
      </c>
    </row>
    <row r="27" spans="1:31" ht="42" customHeight="1" x14ac:dyDescent="0.3">
      <c r="A27" s="5"/>
      <c r="B27" s="2" t="s">
        <v>51</v>
      </c>
    </row>
    <row r="29" spans="1:31" ht="14.5" thickBot="1" x14ac:dyDescent="0.35"/>
    <row r="30" spans="1:31" ht="14.5" thickBot="1" x14ac:dyDescent="0.35">
      <c r="A30" s="18" t="s">
        <v>53</v>
      </c>
      <c r="B30" s="19" t="s">
        <v>52</v>
      </c>
      <c r="D30" s="18" t="s">
        <v>54</v>
      </c>
      <c r="E30" s="19" t="s">
        <v>55</v>
      </c>
    </row>
    <row r="31" spans="1:31" x14ac:dyDescent="0.3">
      <c r="A31" s="17" t="s">
        <v>1</v>
      </c>
      <c r="B31" s="17">
        <v>2.6060000000000003</v>
      </c>
      <c r="D31" s="17" t="s">
        <v>6</v>
      </c>
      <c r="E31" s="17">
        <v>0.49900000000000011</v>
      </c>
    </row>
    <row r="32" spans="1:31" x14ac:dyDescent="0.3">
      <c r="A32" s="4" t="s">
        <v>2</v>
      </c>
      <c r="B32" s="4">
        <v>52.722999999999999</v>
      </c>
      <c r="D32" s="4" t="s">
        <v>7</v>
      </c>
      <c r="E32" s="4">
        <v>0.46400000000000008</v>
      </c>
    </row>
    <row r="33" spans="1:5" x14ac:dyDescent="0.3">
      <c r="A33" s="4" t="s">
        <v>3</v>
      </c>
      <c r="B33" s="4">
        <v>5.0914999999999999</v>
      </c>
      <c r="D33" s="4" t="s">
        <v>8</v>
      </c>
      <c r="E33" s="4">
        <v>9.4500000000000001E-2</v>
      </c>
    </row>
    <row r="34" spans="1:5" x14ac:dyDescent="0.3">
      <c r="A34" s="4" t="s">
        <v>4</v>
      </c>
      <c r="B34" s="4">
        <v>36.186</v>
      </c>
      <c r="D34" s="4" t="s">
        <v>9</v>
      </c>
      <c r="E34" s="4">
        <v>2.4485000000000001</v>
      </c>
    </row>
    <row r="35" spans="1:5" x14ac:dyDescent="0.3">
      <c r="A35" s="4" t="s">
        <v>15</v>
      </c>
      <c r="B35" s="4">
        <v>8.6784999999999997</v>
      </c>
      <c r="D35" s="4" t="s">
        <v>10</v>
      </c>
      <c r="E35" s="4">
        <v>47.895000000000003</v>
      </c>
    </row>
    <row r="36" spans="1:5" x14ac:dyDescent="0.3">
      <c r="A36" s="4" t="s">
        <v>16</v>
      </c>
      <c r="B36" s="4">
        <v>33.434999999999995</v>
      </c>
      <c r="D36" s="4" t="s">
        <v>11</v>
      </c>
      <c r="E36" s="4">
        <v>20.623699999999996</v>
      </c>
    </row>
    <row r="37" spans="1:5" x14ac:dyDescent="0.3">
      <c r="D37" s="4" t="s">
        <v>12</v>
      </c>
      <c r="E37" s="4">
        <v>0.11150000000000002</v>
      </c>
    </row>
    <row r="38" spans="1:5" x14ac:dyDescent="0.3">
      <c r="D38" s="4" t="s">
        <v>13</v>
      </c>
      <c r="E38" s="4">
        <v>8.8000000000000023E-2</v>
      </c>
    </row>
    <row r="39" spans="1:5" x14ac:dyDescent="0.3">
      <c r="D39" s="4" t="s">
        <v>14</v>
      </c>
      <c r="E39" s="4">
        <v>55.41149999999999</v>
      </c>
    </row>
    <row r="40" spans="1:5" x14ac:dyDescent="0.3">
      <c r="D40" s="4" t="s">
        <v>17</v>
      </c>
      <c r="E40" s="4">
        <v>3.9864999999999995</v>
      </c>
    </row>
    <row r="41" spans="1:5" x14ac:dyDescent="0.3">
      <c r="D41" s="4" t="s">
        <v>18</v>
      </c>
      <c r="E41" s="4">
        <v>1.4369999999999998</v>
      </c>
    </row>
    <row r="42" spans="1:5" x14ac:dyDescent="0.3">
      <c r="D42" s="4" t="s">
        <v>19</v>
      </c>
      <c r="E42" s="4">
        <v>11.809000000000001</v>
      </c>
    </row>
    <row r="43" spans="1:5" x14ac:dyDescent="0.3">
      <c r="D43" s="4" t="s">
        <v>20</v>
      </c>
      <c r="E43" s="4">
        <v>1.5465</v>
      </c>
    </row>
    <row r="44" spans="1:5" x14ac:dyDescent="0.3">
      <c r="D44" s="4" t="s">
        <v>21</v>
      </c>
      <c r="E44" s="4">
        <v>0.67100000000000015</v>
      </c>
    </row>
    <row r="45" spans="1:5" x14ac:dyDescent="0.3">
      <c r="D45" s="4" t="s">
        <v>22</v>
      </c>
      <c r="E45" s="4">
        <v>3.7500000000000006E-2</v>
      </c>
    </row>
    <row r="46" spans="1:5" x14ac:dyDescent="0.3">
      <c r="D46" s="4" t="s">
        <v>23</v>
      </c>
      <c r="E46" s="4">
        <v>1.9E-2</v>
      </c>
    </row>
    <row r="47" spans="1:5" x14ac:dyDescent="0.3">
      <c r="D47" s="4" t="s">
        <v>24</v>
      </c>
      <c r="E47" s="4">
        <v>0.35799999999999998</v>
      </c>
    </row>
    <row r="48" spans="1:5" x14ac:dyDescent="0.3">
      <c r="D48" s="4" t="s">
        <v>25</v>
      </c>
      <c r="E48" s="4">
        <v>1.2884999999999998</v>
      </c>
    </row>
    <row r="49" spans="4:5" x14ac:dyDescent="0.3">
      <c r="D49" s="4" t="s">
        <v>26</v>
      </c>
      <c r="E49" s="4">
        <v>1.1685000000000001</v>
      </c>
    </row>
    <row r="50" spans="4:5" x14ac:dyDescent="0.3">
      <c r="D50" s="4" t="s">
        <v>27</v>
      </c>
      <c r="E50" s="4">
        <v>57.305500000000009</v>
      </c>
    </row>
    <row r="51" spans="4:5" x14ac:dyDescent="0.3">
      <c r="D51" s="4" t="s">
        <v>28</v>
      </c>
      <c r="E51" s="4">
        <v>1.5125000000000004</v>
      </c>
    </row>
    <row r="52" spans="4:5" x14ac:dyDescent="0.3">
      <c r="D52" s="4" t="s">
        <v>29</v>
      </c>
      <c r="E52" s="4">
        <v>40.416649999999997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5D67-982E-480E-A57A-DFA08DD8DFC6}">
  <dimension ref="A1:B21"/>
  <sheetViews>
    <sheetView workbookViewId="0">
      <selection activeCell="E15" sqref="E15"/>
    </sheetView>
  </sheetViews>
  <sheetFormatPr defaultRowHeight="14" x14ac:dyDescent="0.3"/>
  <cols>
    <col min="1" max="1" width="14.4140625" customWidth="1"/>
    <col min="2" max="2" width="20.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39</v>
      </c>
      <c r="B2" s="11">
        <v>4.96</v>
      </c>
    </row>
    <row r="3" spans="1:2" x14ac:dyDescent="0.3">
      <c r="A3" s="5" t="s">
        <v>46</v>
      </c>
      <c r="B3" s="9">
        <v>3.88</v>
      </c>
    </row>
    <row r="4" spans="1:2" x14ac:dyDescent="0.3">
      <c r="A4" s="5" t="s">
        <v>43</v>
      </c>
      <c r="B4" s="12">
        <v>3.63</v>
      </c>
    </row>
    <row r="5" spans="1:2" x14ac:dyDescent="0.3">
      <c r="A5" t="s">
        <v>44</v>
      </c>
      <c r="B5" s="7">
        <v>2.93</v>
      </c>
    </row>
    <row r="6" spans="1:2" x14ac:dyDescent="0.3">
      <c r="A6" t="s">
        <v>40</v>
      </c>
      <c r="B6" s="7">
        <v>2.91</v>
      </c>
    </row>
    <row r="7" spans="1:2" x14ac:dyDescent="0.3">
      <c r="A7" t="s">
        <v>48</v>
      </c>
      <c r="B7" s="7">
        <v>2.82</v>
      </c>
    </row>
    <row r="8" spans="1:2" x14ac:dyDescent="0.3">
      <c r="A8" t="s">
        <v>45</v>
      </c>
      <c r="B8" s="7">
        <v>2.7</v>
      </c>
    </row>
    <row r="9" spans="1:2" x14ac:dyDescent="0.3">
      <c r="A9" t="s">
        <v>37</v>
      </c>
      <c r="B9" s="7">
        <v>2.68</v>
      </c>
    </row>
    <row r="10" spans="1:2" x14ac:dyDescent="0.3">
      <c r="A10" t="s">
        <v>41</v>
      </c>
      <c r="B10" s="7">
        <v>2.68</v>
      </c>
    </row>
    <row r="11" spans="1:2" x14ac:dyDescent="0.3">
      <c r="A11" t="s">
        <v>42</v>
      </c>
      <c r="B11" s="7">
        <v>2.66</v>
      </c>
    </row>
    <row r="12" spans="1:2" x14ac:dyDescent="0.3">
      <c r="A12" s="5" t="s">
        <v>34</v>
      </c>
      <c r="B12" s="7">
        <v>2.5299999999999998</v>
      </c>
    </row>
    <row r="13" spans="1:2" x14ac:dyDescent="0.3">
      <c r="A13" t="s">
        <v>49</v>
      </c>
      <c r="B13" s="7">
        <v>2.4</v>
      </c>
    </row>
    <row r="14" spans="1:2" x14ac:dyDescent="0.3">
      <c r="A14" s="5" t="s">
        <v>50</v>
      </c>
      <c r="B14" s="7">
        <v>2.25</v>
      </c>
    </row>
    <row r="15" spans="1:2" x14ac:dyDescent="0.3">
      <c r="A15" t="s">
        <v>33</v>
      </c>
      <c r="B15" s="7">
        <v>2.2000000000000002</v>
      </c>
    </row>
    <row r="16" spans="1:2" x14ac:dyDescent="0.3">
      <c r="A16" t="s">
        <v>35</v>
      </c>
      <c r="B16" s="7">
        <v>2.16</v>
      </c>
    </row>
    <row r="17" spans="1:2" x14ac:dyDescent="0.3">
      <c r="A17" t="s">
        <v>38</v>
      </c>
      <c r="B17" s="7">
        <v>1.92</v>
      </c>
    </row>
    <row r="18" spans="1:2" x14ac:dyDescent="0.3">
      <c r="A18" t="s">
        <v>47</v>
      </c>
      <c r="B18" s="7">
        <v>1.89</v>
      </c>
    </row>
    <row r="19" spans="1:2" x14ac:dyDescent="0.3">
      <c r="A19" t="s">
        <v>31</v>
      </c>
      <c r="B19" s="6">
        <v>1.82</v>
      </c>
    </row>
    <row r="20" spans="1:2" x14ac:dyDescent="0.3">
      <c r="A20" t="s">
        <v>36</v>
      </c>
      <c r="B20" s="10">
        <v>1.78</v>
      </c>
    </row>
    <row r="21" spans="1:2" x14ac:dyDescent="0.3">
      <c r="A21" s="5" t="s">
        <v>32</v>
      </c>
      <c r="B21" s="8">
        <v>1.32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AAAF-DEA7-4AE7-A146-DD8D7AFC5B06}">
  <dimension ref="A1:B21"/>
  <sheetViews>
    <sheetView workbookViewId="0">
      <selection activeCell="E15" sqref="E15"/>
    </sheetView>
  </sheetViews>
  <sheetFormatPr defaultRowHeight="14" x14ac:dyDescent="0.3"/>
  <cols>
    <col min="1" max="1" width="14.08203125" customWidth="1"/>
    <col min="2" max="2" width="21.4140625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t="s">
        <v>45</v>
      </c>
      <c r="B2" s="11">
        <v>64.290000000000006</v>
      </c>
    </row>
    <row r="3" spans="1:2" x14ac:dyDescent="0.3">
      <c r="A3" s="5" t="s">
        <v>34</v>
      </c>
      <c r="B3" s="9">
        <v>62.34</v>
      </c>
    </row>
    <row r="4" spans="1:2" x14ac:dyDescent="0.3">
      <c r="A4" t="s">
        <v>39</v>
      </c>
      <c r="B4" s="12">
        <v>61.01</v>
      </c>
    </row>
    <row r="5" spans="1:2" x14ac:dyDescent="0.3">
      <c r="A5" t="s">
        <v>42</v>
      </c>
      <c r="B5" s="7">
        <v>57.81</v>
      </c>
    </row>
    <row r="6" spans="1:2" x14ac:dyDescent="0.3">
      <c r="A6" s="5" t="s">
        <v>46</v>
      </c>
      <c r="B6" s="7">
        <v>55.41</v>
      </c>
    </row>
    <row r="7" spans="1:2" x14ac:dyDescent="0.3">
      <c r="A7" t="s">
        <v>31</v>
      </c>
      <c r="B7" s="7">
        <v>55</v>
      </c>
    </row>
    <row r="8" spans="1:2" x14ac:dyDescent="0.3">
      <c r="A8" s="5" t="s">
        <v>32</v>
      </c>
      <c r="B8" s="7">
        <v>54.55</v>
      </c>
    </row>
    <row r="9" spans="1:2" x14ac:dyDescent="0.3">
      <c r="A9" s="5" t="s">
        <v>43</v>
      </c>
      <c r="B9" s="7">
        <v>53.64</v>
      </c>
    </row>
    <row r="10" spans="1:2" x14ac:dyDescent="0.3">
      <c r="A10" t="s">
        <v>44</v>
      </c>
      <c r="B10" s="7">
        <v>53.57</v>
      </c>
    </row>
    <row r="11" spans="1:2" x14ac:dyDescent="0.3">
      <c r="A11" t="s">
        <v>38</v>
      </c>
      <c r="B11" s="7">
        <v>52.94</v>
      </c>
    </row>
    <row r="12" spans="1:2" x14ac:dyDescent="0.3">
      <c r="A12" t="s">
        <v>36</v>
      </c>
      <c r="B12" s="7">
        <v>52.63</v>
      </c>
    </row>
    <row r="13" spans="1:2" x14ac:dyDescent="0.3">
      <c r="A13" t="s">
        <v>49</v>
      </c>
      <c r="B13" s="7">
        <v>50</v>
      </c>
    </row>
    <row r="14" spans="1:2" x14ac:dyDescent="0.3">
      <c r="A14" s="5" t="s">
        <v>50</v>
      </c>
      <c r="B14" s="7">
        <v>50</v>
      </c>
    </row>
    <row r="15" spans="1:2" x14ac:dyDescent="0.3">
      <c r="A15" t="s">
        <v>40</v>
      </c>
      <c r="B15" s="7">
        <v>49.45</v>
      </c>
    </row>
    <row r="16" spans="1:2" x14ac:dyDescent="0.3">
      <c r="A16" t="s">
        <v>35</v>
      </c>
      <c r="B16" s="7">
        <v>48.61</v>
      </c>
    </row>
    <row r="17" spans="1:2" x14ac:dyDescent="0.3">
      <c r="A17" t="s">
        <v>33</v>
      </c>
      <c r="B17" s="7">
        <v>48.57</v>
      </c>
    </row>
    <row r="18" spans="1:2" x14ac:dyDescent="0.3">
      <c r="A18" t="s">
        <v>37</v>
      </c>
      <c r="B18" s="7">
        <v>48.42</v>
      </c>
    </row>
    <row r="19" spans="1:2" x14ac:dyDescent="0.3">
      <c r="A19" t="s">
        <v>41</v>
      </c>
      <c r="B19" s="6">
        <v>45.95</v>
      </c>
    </row>
    <row r="20" spans="1:2" x14ac:dyDescent="0.3">
      <c r="A20" t="s">
        <v>47</v>
      </c>
      <c r="B20" s="10">
        <v>45.83</v>
      </c>
    </row>
    <row r="21" spans="1:2" x14ac:dyDescent="0.3">
      <c r="A21" t="s">
        <v>48</v>
      </c>
      <c r="B21" s="8">
        <v>44.44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56FB-2664-4A6C-A6CE-FE1A28DE6E9E}">
  <dimension ref="A1:B21"/>
  <sheetViews>
    <sheetView workbookViewId="0">
      <selection activeCell="E6" sqref="E6"/>
    </sheetView>
  </sheetViews>
  <sheetFormatPr defaultRowHeight="14" x14ac:dyDescent="0.3"/>
  <cols>
    <col min="1" max="1" width="14.1640625" customWidth="1"/>
    <col min="2" max="2" width="16.1640625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t="s">
        <v>47</v>
      </c>
      <c r="B2" s="11">
        <v>11.21</v>
      </c>
    </row>
    <row r="3" spans="1:2" x14ac:dyDescent="0.3">
      <c r="A3" t="s">
        <v>44</v>
      </c>
      <c r="B3" s="9">
        <v>10.97</v>
      </c>
    </row>
    <row r="4" spans="1:2" x14ac:dyDescent="0.3">
      <c r="A4" t="s">
        <v>49</v>
      </c>
      <c r="B4" s="12">
        <v>9.5</v>
      </c>
    </row>
    <row r="5" spans="1:2" x14ac:dyDescent="0.3">
      <c r="A5" t="s">
        <v>38</v>
      </c>
      <c r="B5" s="7">
        <v>7.19</v>
      </c>
    </row>
    <row r="6" spans="1:2" x14ac:dyDescent="0.3">
      <c r="A6" s="5" t="s">
        <v>46</v>
      </c>
      <c r="B6" s="7">
        <v>6.39</v>
      </c>
    </row>
    <row r="7" spans="1:2" x14ac:dyDescent="0.3">
      <c r="A7" s="5" t="s">
        <v>50</v>
      </c>
      <c r="B7" s="7">
        <v>5.64</v>
      </c>
    </row>
    <row r="8" spans="1:2" x14ac:dyDescent="0.3">
      <c r="A8" t="s">
        <v>40</v>
      </c>
      <c r="B8" s="7">
        <v>5.63</v>
      </c>
    </row>
    <row r="9" spans="1:2" x14ac:dyDescent="0.3">
      <c r="A9" t="s">
        <v>36</v>
      </c>
      <c r="B9" s="7">
        <v>5.54</v>
      </c>
    </row>
    <row r="10" spans="1:2" x14ac:dyDescent="0.3">
      <c r="A10" t="s">
        <v>48</v>
      </c>
      <c r="B10" s="7">
        <v>5.32</v>
      </c>
    </row>
    <row r="11" spans="1:2" x14ac:dyDescent="0.3">
      <c r="A11" s="5" t="s">
        <v>34</v>
      </c>
      <c r="B11" s="7">
        <v>4.3</v>
      </c>
    </row>
    <row r="12" spans="1:2" x14ac:dyDescent="0.3">
      <c r="A12" t="s">
        <v>41</v>
      </c>
      <c r="B12" s="7">
        <v>4.16</v>
      </c>
    </row>
    <row r="13" spans="1:2" x14ac:dyDescent="0.3">
      <c r="A13" t="s">
        <v>33</v>
      </c>
      <c r="B13" s="7">
        <v>4.1100000000000003</v>
      </c>
    </row>
    <row r="14" spans="1:2" x14ac:dyDescent="0.3">
      <c r="A14" t="s">
        <v>31</v>
      </c>
      <c r="B14" s="7">
        <v>3.76</v>
      </c>
    </row>
    <row r="15" spans="1:2" x14ac:dyDescent="0.3">
      <c r="A15" s="5" t="s">
        <v>43</v>
      </c>
      <c r="B15" s="7">
        <v>3.76</v>
      </c>
    </row>
    <row r="16" spans="1:2" x14ac:dyDescent="0.3">
      <c r="A16" t="s">
        <v>42</v>
      </c>
      <c r="B16" s="7">
        <v>3.7</v>
      </c>
    </row>
    <row r="17" spans="1:2" x14ac:dyDescent="0.3">
      <c r="A17" t="s">
        <v>35</v>
      </c>
      <c r="B17" s="7">
        <v>2.58</v>
      </c>
    </row>
    <row r="18" spans="1:2" x14ac:dyDescent="0.3">
      <c r="A18" t="s">
        <v>37</v>
      </c>
      <c r="B18" s="7">
        <v>2.2000000000000002</v>
      </c>
    </row>
    <row r="19" spans="1:2" x14ac:dyDescent="0.3">
      <c r="A19" s="5" t="s">
        <v>32</v>
      </c>
      <c r="B19" s="6">
        <v>2.19</v>
      </c>
    </row>
    <row r="20" spans="1:2" x14ac:dyDescent="0.3">
      <c r="A20" t="s">
        <v>45</v>
      </c>
      <c r="B20" s="10">
        <v>1.96</v>
      </c>
    </row>
    <row r="21" spans="1:2" x14ac:dyDescent="0.3">
      <c r="A21" t="s">
        <v>39</v>
      </c>
      <c r="B21" s="8">
        <v>1.72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1EB6-0729-424E-AB9D-6731EC2C018B}">
  <dimension ref="A1:B21"/>
  <sheetViews>
    <sheetView workbookViewId="0">
      <selection activeCell="E12" sqref="E12"/>
    </sheetView>
  </sheetViews>
  <sheetFormatPr defaultRowHeight="14" x14ac:dyDescent="0.3"/>
  <cols>
    <col min="1" max="1" width="14.9140625" customWidth="1"/>
    <col min="2" max="2" width="17.1640625" customWidth="1"/>
  </cols>
  <sheetData>
    <row r="1" spans="1:2" x14ac:dyDescent="0.3">
      <c r="A1" s="1" t="s">
        <v>0</v>
      </c>
      <c r="B1" s="1" t="s">
        <v>4</v>
      </c>
    </row>
    <row r="2" spans="1:2" x14ac:dyDescent="0.3">
      <c r="A2" t="s">
        <v>31</v>
      </c>
      <c r="B2" s="11">
        <v>51.61</v>
      </c>
    </row>
    <row r="3" spans="1:2" x14ac:dyDescent="0.3">
      <c r="A3" s="5" t="s">
        <v>50</v>
      </c>
      <c r="B3" s="9">
        <v>51.43</v>
      </c>
    </row>
    <row r="4" spans="1:2" x14ac:dyDescent="0.3">
      <c r="A4" t="s">
        <v>37</v>
      </c>
      <c r="B4" s="12">
        <v>46.15</v>
      </c>
    </row>
    <row r="5" spans="1:2" x14ac:dyDescent="0.3">
      <c r="A5" t="s">
        <v>47</v>
      </c>
      <c r="B5" s="7">
        <v>44.37</v>
      </c>
    </row>
    <row r="6" spans="1:2" x14ac:dyDescent="0.3">
      <c r="A6" t="s">
        <v>42</v>
      </c>
      <c r="B6" s="7">
        <v>42.7</v>
      </c>
    </row>
    <row r="7" spans="1:2" x14ac:dyDescent="0.3">
      <c r="A7" s="5" t="s">
        <v>32</v>
      </c>
      <c r="B7" s="7">
        <v>42.47</v>
      </c>
    </row>
    <row r="8" spans="1:2" x14ac:dyDescent="0.3">
      <c r="A8" t="s">
        <v>44</v>
      </c>
      <c r="B8" s="7">
        <v>41.43</v>
      </c>
    </row>
    <row r="9" spans="1:2" x14ac:dyDescent="0.3">
      <c r="A9" t="s">
        <v>49</v>
      </c>
      <c r="B9" s="7">
        <v>37.89</v>
      </c>
    </row>
    <row r="10" spans="1:2" x14ac:dyDescent="0.3">
      <c r="A10" s="5" t="s">
        <v>34</v>
      </c>
      <c r="B10" s="7">
        <v>36.64</v>
      </c>
    </row>
    <row r="11" spans="1:2" x14ac:dyDescent="0.3">
      <c r="A11" t="s">
        <v>40</v>
      </c>
      <c r="B11" s="7">
        <v>35.799999999999997</v>
      </c>
    </row>
    <row r="12" spans="1:2" x14ac:dyDescent="0.3">
      <c r="A12" t="s">
        <v>33</v>
      </c>
      <c r="B12" s="7">
        <v>34.35</v>
      </c>
    </row>
    <row r="13" spans="1:2" x14ac:dyDescent="0.3">
      <c r="A13" t="s">
        <v>45</v>
      </c>
      <c r="B13" s="7">
        <v>33.33</v>
      </c>
    </row>
    <row r="14" spans="1:2" x14ac:dyDescent="0.3">
      <c r="A14" t="s">
        <v>36</v>
      </c>
      <c r="B14" s="7">
        <v>32.770000000000003</v>
      </c>
    </row>
    <row r="15" spans="1:2" x14ac:dyDescent="0.3">
      <c r="A15" t="s">
        <v>48</v>
      </c>
      <c r="B15" s="7">
        <v>32.35</v>
      </c>
    </row>
    <row r="16" spans="1:2" x14ac:dyDescent="0.3">
      <c r="A16" t="s">
        <v>41</v>
      </c>
      <c r="B16" s="7">
        <v>32.17</v>
      </c>
    </row>
    <row r="17" spans="1:2" x14ac:dyDescent="0.3">
      <c r="A17" t="s">
        <v>38</v>
      </c>
      <c r="B17" s="7">
        <v>30.59</v>
      </c>
    </row>
    <row r="18" spans="1:2" x14ac:dyDescent="0.3">
      <c r="A18" s="5" t="s">
        <v>46</v>
      </c>
      <c r="B18" s="7">
        <v>27.87</v>
      </c>
    </row>
    <row r="19" spans="1:2" x14ac:dyDescent="0.3">
      <c r="A19" t="s">
        <v>39</v>
      </c>
      <c r="B19" s="6">
        <v>27.27</v>
      </c>
    </row>
    <row r="20" spans="1:2" x14ac:dyDescent="0.3">
      <c r="A20" t="s">
        <v>35</v>
      </c>
      <c r="B20" s="10">
        <v>26.74</v>
      </c>
    </row>
    <row r="21" spans="1:2" x14ac:dyDescent="0.3">
      <c r="A21" s="5" t="s">
        <v>43</v>
      </c>
      <c r="B21" s="8">
        <v>15.79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F8D6-A54C-4FEB-8A9B-FE7ED5A6971C}">
  <dimension ref="A1:B21"/>
  <sheetViews>
    <sheetView workbookViewId="0">
      <selection activeCell="F23" sqref="F23"/>
    </sheetView>
  </sheetViews>
  <sheetFormatPr defaultRowHeight="14" x14ac:dyDescent="0.3"/>
  <cols>
    <col min="1" max="1" width="14.33203125" customWidth="1"/>
    <col min="2" max="2" width="17.33203125" customWidth="1"/>
  </cols>
  <sheetData>
    <row r="1" spans="1:2" x14ac:dyDescent="0.3">
      <c r="A1" s="1" t="s">
        <v>0</v>
      </c>
      <c r="B1" s="1" t="s">
        <v>5</v>
      </c>
    </row>
    <row r="2" spans="1:2" x14ac:dyDescent="0.3">
      <c r="A2" t="s">
        <v>39</v>
      </c>
      <c r="B2" s="11">
        <v>2.5299999999999998</v>
      </c>
    </row>
    <row r="3" spans="1:2" x14ac:dyDescent="0.3">
      <c r="A3" t="s">
        <v>48</v>
      </c>
      <c r="B3" s="9">
        <v>1.88</v>
      </c>
    </row>
    <row r="4" spans="1:2" x14ac:dyDescent="0.3">
      <c r="A4" t="s">
        <v>45</v>
      </c>
      <c r="B4" s="12">
        <v>1.66</v>
      </c>
    </row>
    <row r="5" spans="1:2" x14ac:dyDescent="0.3">
      <c r="A5" t="s">
        <v>47</v>
      </c>
      <c r="B5" s="12">
        <v>1.66</v>
      </c>
    </row>
    <row r="6" spans="1:2" x14ac:dyDescent="0.3">
      <c r="A6" t="s">
        <v>44</v>
      </c>
      <c r="B6" s="7">
        <v>1.62</v>
      </c>
    </row>
    <row r="7" spans="1:2" x14ac:dyDescent="0.3">
      <c r="A7" t="s">
        <v>40</v>
      </c>
      <c r="B7" s="7">
        <v>1.6</v>
      </c>
    </row>
    <row r="8" spans="1:2" x14ac:dyDescent="0.3">
      <c r="A8" s="5" t="s">
        <v>34</v>
      </c>
      <c r="B8" s="7">
        <v>1.58</v>
      </c>
    </row>
    <row r="9" spans="1:2" x14ac:dyDescent="0.3">
      <c r="A9" t="s">
        <v>37</v>
      </c>
      <c r="B9" s="7">
        <v>1.55</v>
      </c>
    </row>
    <row r="10" spans="1:2" x14ac:dyDescent="0.3">
      <c r="A10" t="s">
        <v>42</v>
      </c>
      <c r="B10" s="7">
        <v>1.54</v>
      </c>
    </row>
    <row r="11" spans="1:2" x14ac:dyDescent="0.3">
      <c r="A11" t="s">
        <v>38</v>
      </c>
      <c r="B11" s="7">
        <v>1.35</v>
      </c>
    </row>
    <row r="12" spans="1:2" x14ac:dyDescent="0.3">
      <c r="A12" s="5" t="s">
        <v>46</v>
      </c>
      <c r="B12" s="7">
        <v>1.31</v>
      </c>
    </row>
    <row r="13" spans="1:2" x14ac:dyDescent="0.3">
      <c r="A13" s="5" t="s">
        <v>50</v>
      </c>
      <c r="B13" s="7">
        <v>1.29</v>
      </c>
    </row>
    <row r="14" spans="1:2" x14ac:dyDescent="0.3">
      <c r="A14" t="s">
        <v>36</v>
      </c>
      <c r="B14" s="7">
        <v>1.19</v>
      </c>
    </row>
    <row r="15" spans="1:2" x14ac:dyDescent="0.3">
      <c r="A15" t="s">
        <v>41</v>
      </c>
      <c r="B15" s="7">
        <v>1.19</v>
      </c>
    </row>
    <row r="16" spans="1:2" x14ac:dyDescent="0.3">
      <c r="A16" t="s">
        <v>31</v>
      </c>
      <c r="B16" s="7">
        <v>1.1499999999999999</v>
      </c>
    </row>
    <row r="17" spans="1:2" x14ac:dyDescent="0.3">
      <c r="A17" s="5" t="s">
        <v>43</v>
      </c>
      <c r="B17" s="7">
        <v>1.1499999999999999</v>
      </c>
    </row>
    <row r="18" spans="1:2" x14ac:dyDescent="0.3">
      <c r="A18" s="5" t="s">
        <v>32</v>
      </c>
      <c r="B18" s="6">
        <v>1.1100000000000001</v>
      </c>
    </row>
    <row r="19" spans="1:2" x14ac:dyDescent="0.3">
      <c r="A19" t="s">
        <v>35</v>
      </c>
      <c r="B19" s="6">
        <v>1.1100000000000001</v>
      </c>
    </row>
    <row r="20" spans="1:2" x14ac:dyDescent="0.3">
      <c r="A20" t="s">
        <v>33</v>
      </c>
      <c r="B20" s="10">
        <v>0.97</v>
      </c>
    </row>
    <row r="21" spans="1:2" x14ac:dyDescent="0.3">
      <c r="A21" t="s">
        <v>49</v>
      </c>
      <c r="B21" s="8">
        <v>0.9</v>
      </c>
    </row>
  </sheetData>
  <sortState xmlns:xlrd2="http://schemas.microsoft.com/office/spreadsheetml/2017/richdata2" ref="A2:B21">
    <sortCondition descending="1" ref="B1:B2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9D22-16E4-4821-B9F1-CB917C657A80}">
  <dimension ref="A1:B21"/>
  <sheetViews>
    <sheetView workbookViewId="0">
      <selection activeCell="D12" sqref="D12"/>
    </sheetView>
  </sheetViews>
  <sheetFormatPr defaultRowHeight="14" x14ac:dyDescent="0.3"/>
  <cols>
    <col min="1" max="1" width="14.1640625" customWidth="1"/>
    <col min="2" max="2" width="11" customWidth="1"/>
  </cols>
  <sheetData>
    <row r="1" spans="1:2" x14ac:dyDescent="0.3">
      <c r="A1" s="1" t="s">
        <v>0</v>
      </c>
      <c r="B1" s="1" t="s">
        <v>6</v>
      </c>
    </row>
    <row r="2" spans="1:2" x14ac:dyDescent="0.3">
      <c r="A2" s="5" t="s">
        <v>32</v>
      </c>
      <c r="B2" s="11">
        <v>1.1399999999999999</v>
      </c>
    </row>
    <row r="3" spans="1:2" x14ac:dyDescent="0.3">
      <c r="A3" t="s">
        <v>35</v>
      </c>
      <c r="B3" s="9">
        <v>0.69</v>
      </c>
    </row>
    <row r="4" spans="1:2" x14ac:dyDescent="0.3">
      <c r="A4" t="s">
        <v>31</v>
      </c>
      <c r="B4" s="12">
        <v>0.67</v>
      </c>
    </row>
    <row r="5" spans="1:2" x14ac:dyDescent="0.3">
      <c r="A5" t="s">
        <v>47</v>
      </c>
      <c r="B5" s="7">
        <v>0.63</v>
      </c>
    </row>
    <row r="6" spans="1:2" x14ac:dyDescent="0.3">
      <c r="A6" t="s">
        <v>48</v>
      </c>
      <c r="B6" s="7">
        <v>0.63</v>
      </c>
    </row>
    <row r="7" spans="1:2" x14ac:dyDescent="0.3">
      <c r="A7" t="s">
        <v>38</v>
      </c>
      <c r="B7" s="7">
        <v>0.56000000000000005</v>
      </c>
    </row>
    <row r="8" spans="1:2" x14ac:dyDescent="0.3">
      <c r="A8" t="s">
        <v>37</v>
      </c>
      <c r="B8" s="7">
        <v>0.51</v>
      </c>
    </row>
    <row r="9" spans="1:2" x14ac:dyDescent="0.3">
      <c r="A9" t="s">
        <v>33</v>
      </c>
      <c r="B9" s="7">
        <v>0.5</v>
      </c>
    </row>
    <row r="10" spans="1:2" x14ac:dyDescent="0.3">
      <c r="A10" s="5" t="s">
        <v>34</v>
      </c>
      <c r="B10" s="7">
        <v>0.49</v>
      </c>
    </row>
    <row r="11" spans="1:2" x14ac:dyDescent="0.3">
      <c r="A11" s="5" t="s">
        <v>50</v>
      </c>
      <c r="B11" s="7">
        <v>0.48</v>
      </c>
    </row>
    <row r="12" spans="1:2" x14ac:dyDescent="0.3">
      <c r="A12" t="s">
        <v>39</v>
      </c>
      <c r="B12" s="7">
        <v>0.47</v>
      </c>
    </row>
    <row r="13" spans="1:2" x14ac:dyDescent="0.3">
      <c r="A13" t="s">
        <v>40</v>
      </c>
      <c r="B13" s="7">
        <v>0.45</v>
      </c>
    </row>
    <row r="14" spans="1:2" x14ac:dyDescent="0.3">
      <c r="A14" t="s">
        <v>36</v>
      </c>
      <c r="B14" s="7">
        <v>0.44</v>
      </c>
    </row>
    <row r="15" spans="1:2" x14ac:dyDescent="0.3">
      <c r="A15" t="s">
        <v>42</v>
      </c>
      <c r="B15" s="7">
        <v>0.42</v>
      </c>
    </row>
    <row r="16" spans="1:2" x14ac:dyDescent="0.3">
      <c r="A16" t="s">
        <v>44</v>
      </c>
      <c r="B16" s="7">
        <v>0.42</v>
      </c>
    </row>
    <row r="17" spans="1:2" x14ac:dyDescent="0.3">
      <c r="A17" t="s">
        <v>45</v>
      </c>
      <c r="B17" s="7">
        <v>0.39</v>
      </c>
    </row>
    <row r="18" spans="1:2" x14ac:dyDescent="0.3">
      <c r="A18" t="s">
        <v>41</v>
      </c>
      <c r="B18" s="7">
        <v>0.36</v>
      </c>
    </row>
    <row r="19" spans="1:2" x14ac:dyDescent="0.3">
      <c r="A19" s="5" t="s">
        <v>43</v>
      </c>
      <c r="B19" s="6">
        <v>0.33</v>
      </c>
    </row>
    <row r="20" spans="1:2" x14ac:dyDescent="0.3">
      <c r="A20" t="s">
        <v>49</v>
      </c>
      <c r="B20" s="10">
        <v>0.3</v>
      </c>
    </row>
    <row r="21" spans="1:2" x14ac:dyDescent="0.3">
      <c r="A21" s="5" t="s">
        <v>46</v>
      </c>
      <c r="B21" s="8">
        <v>0.1</v>
      </c>
    </row>
  </sheetData>
  <sortState xmlns:xlrd2="http://schemas.microsoft.com/office/spreadsheetml/2017/richdata2" ref="A2:B21">
    <sortCondition descending="1" ref="B1:B2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5F87-8765-42AD-AB44-DA2A7A5AC44E}">
  <dimension ref="A1:B21"/>
  <sheetViews>
    <sheetView workbookViewId="0">
      <selection activeCell="C17" sqref="C17"/>
    </sheetView>
  </sheetViews>
  <sheetFormatPr defaultRowHeight="14" x14ac:dyDescent="0.3"/>
  <cols>
    <col min="1" max="1" width="14.5" customWidth="1"/>
  </cols>
  <sheetData>
    <row r="1" spans="1:2" x14ac:dyDescent="0.3">
      <c r="A1" s="1" t="s">
        <v>0</v>
      </c>
      <c r="B1" s="1" t="s">
        <v>7</v>
      </c>
    </row>
    <row r="2" spans="1:2" x14ac:dyDescent="0.3">
      <c r="A2" s="5" t="s">
        <v>32</v>
      </c>
      <c r="B2" s="11">
        <v>0.94</v>
      </c>
    </row>
    <row r="3" spans="1:2" x14ac:dyDescent="0.3">
      <c r="A3" s="5" t="s">
        <v>34</v>
      </c>
      <c r="B3" s="9">
        <v>0.69</v>
      </c>
    </row>
    <row r="4" spans="1:2" x14ac:dyDescent="0.3">
      <c r="A4" t="s">
        <v>31</v>
      </c>
      <c r="B4" s="12">
        <v>0.65</v>
      </c>
    </row>
    <row r="5" spans="1:2" x14ac:dyDescent="0.3">
      <c r="A5" t="s">
        <v>47</v>
      </c>
      <c r="B5" s="7">
        <v>0.59</v>
      </c>
    </row>
    <row r="6" spans="1:2" x14ac:dyDescent="0.3">
      <c r="A6" t="s">
        <v>35</v>
      </c>
      <c r="B6" s="7">
        <v>0.56999999999999995</v>
      </c>
    </row>
    <row r="7" spans="1:2" x14ac:dyDescent="0.3">
      <c r="A7" t="s">
        <v>48</v>
      </c>
      <c r="B7" s="7">
        <v>0.56999999999999995</v>
      </c>
    </row>
    <row r="8" spans="1:2" x14ac:dyDescent="0.3">
      <c r="A8" t="s">
        <v>33</v>
      </c>
      <c r="B8" s="7">
        <v>0.54</v>
      </c>
    </row>
    <row r="9" spans="1:2" x14ac:dyDescent="0.3">
      <c r="A9" s="5" t="s">
        <v>50</v>
      </c>
      <c r="B9" s="7">
        <v>0.53</v>
      </c>
    </row>
    <row r="10" spans="1:2" x14ac:dyDescent="0.3">
      <c r="A10" t="s">
        <v>41</v>
      </c>
      <c r="B10" s="7">
        <v>0.46</v>
      </c>
    </row>
    <row r="11" spans="1:2" x14ac:dyDescent="0.3">
      <c r="A11" t="s">
        <v>37</v>
      </c>
      <c r="B11" s="7">
        <v>0.44</v>
      </c>
    </row>
    <row r="12" spans="1:2" x14ac:dyDescent="0.3">
      <c r="A12" t="s">
        <v>42</v>
      </c>
      <c r="B12" s="7">
        <v>0.43</v>
      </c>
    </row>
    <row r="13" spans="1:2" x14ac:dyDescent="0.3">
      <c r="A13" t="s">
        <v>38</v>
      </c>
      <c r="B13" s="7">
        <v>0.41</v>
      </c>
    </row>
    <row r="14" spans="1:2" x14ac:dyDescent="0.3">
      <c r="A14" t="s">
        <v>44</v>
      </c>
      <c r="B14" s="7">
        <v>0.37</v>
      </c>
    </row>
    <row r="15" spans="1:2" x14ac:dyDescent="0.3">
      <c r="A15" t="s">
        <v>45</v>
      </c>
      <c r="B15" s="7">
        <v>0.37</v>
      </c>
    </row>
    <row r="16" spans="1:2" x14ac:dyDescent="0.3">
      <c r="A16" t="s">
        <v>36</v>
      </c>
      <c r="B16" s="7">
        <v>0.33</v>
      </c>
    </row>
    <row r="17" spans="1:2" x14ac:dyDescent="0.3">
      <c r="A17" t="s">
        <v>40</v>
      </c>
      <c r="B17" s="7">
        <v>0.33</v>
      </c>
    </row>
    <row r="18" spans="1:2" x14ac:dyDescent="0.3">
      <c r="A18" s="5" t="s">
        <v>43</v>
      </c>
      <c r="B18" s="7">
        <v>0.33</v>
      </c>
    </row>
    <row r="19" spans="1:2" x14ac:dyDescent="0.3">
      <c r="A19" t="s">
        <v>39</v>
      </c>
      <c r="B19" s="6">
        <v>0.31</v>
      </c>
    </row>
    <row r="20" spans="1:2" x14ac:dyDescent="0.3">
      <c r="A20" s="5" t="s">
        <v>46</v>
      </c>
      <c r="B20" s="10">
        <v>0.28000000000000003</v>
      </c>
    </row>
    <row r="21" spans="1:2" x14ac:dyDescent="0.3">
      <c r="A21" t="s">
        <v>49</v>
      </c>
      <c r="B21" s="8">
        <v>0.14000000000000001</v>
      </c>
    </row>
  </sheetData>
  <sortState xmlns:xlrd2="http://schemas.microsoft.com/office/spreadsheetml/2017/richdata2" ref="A2:B21">
    <sortCondition descending="1" ref="B1:B2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4E37-1780-4D53-A42F-CAF3AA274074}">
  <dimension ref="A1:B21"/>
  <sheetViews>
    <sheetView workbookViewId="0">
      <selection activeCell="E15" sqref="E15"/>
    </sheetView>
  </sheetViews>
  <sheetFormatPr defaultRowHeight="14" x14ac:dyDescent="0.3"/>
  <cols>
    <col min="1" max="1" width="14.33203125" customWidth="1"/>
    <col min="2" max="2" width="16" customWidth="1"/>
  </cols>
  <sheetData>
    <row r="1" spans="1:2" x14ac:dyDescent="0.3">
      <c r="A1" s="1" t="s">
        <v>0</v>
      </c>
      <c r="B1" s="1" t="s">
        <v>8</v>
      </c>
    </row>
    <row r="2" spans="1:2" x14ac:dyDescent="0.3">
      <c r="A2" t="s">
        <v>48</v>
      </c>
      <c r="B2" s="11">
        <v>0.47</v>
      </c>
    </row>
    <row r="3" spans="1:2" x14ac:dyDescent="0.3">
      <c r="A3" t="s">
        <v>38</v>
      </c>
      <c r="B3" s="9">
        <v>0.23</v>
      </c>
    </row>
    <row r="4" spans="1:2" x14ac:dyDescent="0.3">
      <c r="A4" t="s">
        <v>49</v>
      </c>
      <c r="B4" s="12">
        <v>0.2</v>
      </c>
    </row>
    <row r="5" spans="1:2" x14ac:dyDescent="0.3">
      <c r="A5" t="s">
        <v>33</v>
      </c>
      <c r="B5" s="7">
        <v>0.13</v>
      </c>
    </row>
    <row r="6" spans="1:2" x14ac:dyDescent="0.3">
      <c r="A6" t="s">
        <v>31</v>
      </c>
      <c r="B6" s="7">
        <v>0.12</v>
      </c>
    </row>
    <row r="7" spans="1:2" x14ac:dyDescent="0.3">
      <c r="A7" t="s">
        <v>35</v>
      </c>
      <c r="B7" s="7">
        <v>0.12</v>
      </c>
    </row>
    <row r="8" spans="1:2" x14ac:dyDescent="0.3">
      <c r="A8" t="s">
        <v>37</v>
      </c>
      <c r="B8" s="7">
        <v>0.11</v>
      </c>
    </row>
    <row r="9" spans="1:2" x14ac:dyDescent="0.3">
      <c r="A9" t="s">
        <v>40</v>
      </c>
      <c r="B9" s="7">
        <v>0.1</v>
      </c>
    </row>
    <row r="10" spans="1:2" x14ac:dyDescent="0.3">
      <c r="A10" t="s">
        <v>44</v>
      </c>
      <c r="B10" s="7">
        <v>0.1</v>
      </c>
    </row>
    <row r="11" spans="1:2" x14ac:dyDescent="0.3">
      <c r="A11" t="s">
        <v>45</v>
      </c>
      <c r="B11" s="7">
        <v>0.08</v>
      </c>
    </row>
    <row r="12" spans="1:2" x14ac:dyDescent="0.3">
      <c r="A12" s="5" t="s">
        <v>34</v>
      </c>
      <c r="B12" s="7">
        <v>7.0000000000000007E-2</v>
      </c>
    </row>
    <row r="13" spans="1:2" x14ac:dyDescent="0.3">
      <c r="A13" s="5" t="s">
        <v>46</v>
      </c>
      <c r="B13" s="7">
        <v>0.05</v>
      </c>
    </row>
    <row r="14" spans="1:2" x14ac:dyDescent="0.3">
      <c r="A14" t="s">
        <v>41</v>
      </c>
      <c r="B14" s="6">
        <v>0.04</v>
      </c>
    </row>
    <row r="15" spans="1:2" x14ac:dyDescent="0.3">
      <c r="A15" t="s">
        <v>42</v>
      </c>
      <c r="B15" s="6">
        <v>0.04</v>
      </c>
    </row>
    <row r="16" spans="1:2" x14ac:dyDescent="0.3">
      <c r="A16" s="5" t="s">
        <v>43</v>
      </c>
      <c r="B16" s="10">
        <v>0.03</v>
      </c>
    </row>
    <row r="17" spans="1:2" x14ac:dyDescent="0.3">
      <c r="A17" s="5" t="s">
        <v>32</v>
      </c>
      <c r="B17" s="8">
        <v>0</v>
      </c>
    </row>
    <row r="18" spans="1:2" x14ac:dyDescent="0.3">
      <c r="A18" t="s">
        <v>36</v>
      </c>
      <c r="B18" s="8">
        <v>0</v>
      </c>
    </row>
    <row r="19" spans="1:2" x14ac:dyDescent="0.3">
      <c r="A19" t="s">
        <v>39</v>
      </c>
      <c r="B19" s="8">
        <v>0</v>
      </c>
    </row>
    <row r="20" spans="1:2" x14ac:dyDescent="0.3">
      <c r="A20" t="s">
        <v>47</v>
      </c>
      <c r="B20" s="8">
        <v>0</v>
      </c>
    </row>
    <row r="21" spans="1:2" x14ac:dyDescent="0.3">
      <c r="A21" s="5" t="s">
        <v>50</v>
      </c>
      <c r="B21" s="8">
        <v>0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5FBD-4CB1-4125-B3F9-15C3BE753DAB}">
  <dimension ref="A1:B21"/>
  <sheetViews>
    <sheetView workbookViewId="0">
      <selection activeCell="F15" sqref="F15"/>
    </sheetView>
  </sheetViews>
  <sheetFormatPr defaultRowHeight="14" x14ac:dyDescent="0.3"/>
  <cols>
    <col min="1" max="1" width="13.83203125" customWidth="1"/>
    <col min="2" max="2" width="11.5" customWidth="1"/>
  </cols>
  <sheetData>
    <row r="1" spans="1:2" x14ac:dyDescent="0.3">
      <c r="A1" s="1" t="s">
        <v>0</v>
      </c>
      <c r="B1" s="1" t="s">
        <v>9</v>
      </c>
    </row>
    <row r="2" spans="1:2" x14ac:dyDescent="0.3">
      <c r="A2" s="5" t="s">
        <v>32</v>
      </c>
      <c r="B2" s="11">
        <v>4.0199999999999996</v>
      </c>
    </row>
    <row r="3" spans="1:2" x14ac:dyDescent="0.3">
      <c r="A3" s="5" t="s">
        <v>34</v>
      </c>
      <c r="B3" s="9">
        <v>3.68</v>
      </c>
    </row>
    <row r="4" spans="1:2" x14ac:dyDescent="0.3">
      <c r="A4" t="s">
        <v>39</v>
      </c>
      <c r="B4" s="12">
        <v>3.25</v>
      </c>
    </row>
    <row r="5" spans="1:2" x14ac:dyDescent="0.3">
      <c r="A5" t="s">
        <v>31</v>
      </c>
      <c r="B5" s="7">
        <v>3.12</v>
      </c>
    </row>
    <row r="6" spans="1:2" x14ac:dyDescent="0.3">
      <c r="A6" t="s">
        <v>47</v>
      </c>
      <c r="B6" s="7">
        <v>2.84</v>
      </c>
    </row>
    <row r="7" spans="1:2" x14ac:dyDescent="0.3">
      <c r="A7" t="s">
        <v>35</v>
      </c>
      <c r="B7" s="7">
        <v>2.76</v>
      </c>
    </row>
    <row r="8" spans="1:2" x14ac:dyDescent="0.3">
      <c r="A8" s="5" t="s">
        <v>50</v>
      </c>
      <c r="B8" s="7">
        <v>2.74</v>
      </c>
    </row>
    <row r="9" spans="1:2" x14ac:dyDescent="0.3">
      <c r="A9" t="s">
        <v>33</v>
      </c>
      <c r="B9" s="7">
        <v>2.7</v>
      </c>
    </row>
    <row r="10" spans="1:2" x14ac:dyDescent="0.3">
      <c r="A10" t="s">
        <v>48</v>
      </c>
      <c r="B10" s="7">
        <v>2.5</v>
      </c>
    </row>
    <row r="11" spans="1:2" x14ac:dyDescent="0.3">
      <c r="A11" t="s">
        <v>41</v>
      </c>
      <c r="B11" s="7">
        <v>2.42</v>
      </c>
    </row>
    <row r="12" spans="1:2" x14ac:dyDescent="0.3">
      <c r="A12" t="s">
        <v>37</v>
      </c>
      <c r="B12" s="7">
        <v>2.31</v>
      </c>
    </row>
    <row r="13" spans="1:2" x14ac:dyDescent="0.3">
      <c r="A13" t="s">
        <v>44</v>
      </c>
      <c r="B13" s="7">
        <v>2.2999999999999998</v>
      </c>
    </row>
    <row r="14" spans="1:2" x14ac:dyDescent="0.3">
      <c r="A14" t="s">
        <v>45</v>
      </c>
      <c r="B14" s="7">
        <v>2.16</v>
      </c>
    </row>
    <row r="15" spans="1:2" x14ac:dyDescent="0.3">
      <c r="A15" s="5" t="s">
        <v>43</v>
      </c>
      <c r="B15" s="7">
        <v>1.95</v>
      </c>
    </row>
    <row r="16" spans="1:2" x14ac:dyDescent="0.3">
      <c r="A16" s="5" t="s">
        <v>46</v>
      </c>
      <c r="B16" s="7">
        <v>1.89</v>
      </c>
    </row>
    <row r="17" spans="1:2" x14ac:dyDescent="0.3">
      <c r="A17" t="s">
        <v>36</v>
      </c>
      <c r="B17" s="7">
        <v>1.88</v>
      </c>
    </row>
    <row r="18" spans="1:2" x14ac:dyDescent="0.3">
      <c r="A18" t="s">
        <v>42</v>
      </c>
      <c r="B18" s="7">
        <v>1.87</v>
      </c>
    </row>
    <row r="19" spans="1:2" x14ac:dyDescent="0.3">
      <c r="A19" t="s">
        <v>38</v>
      </c>
      <c r="B19" s="6">
        <v>1.78</v>
      </c>
    </row>
    <row r="20" spans="1:2" x14ac:dyDescent="0.3">
      <c r="A20" t="s">
        <v>40</v>
      </c>
      <c r="B20" s="10">
        <v>1.6</v>
      </c>
    </row>
    <row r="21" spans="1:2" x14ac:dyDescent="0.3">
      <c r="A21" t="s">
        <v>49</v>
      </c>
      <c r="B21" s="8">
        <v>1.2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26E1-0F92-41ED-84B6-F8183809922F}">
  <dimension ref="A1:B21"/>
  <sheetViews>
    <sheetView workbookViewId="0">
      <selection activeCell="E15" sqref="E15"/>
    </sheetView>
  </sheetViews>
  <sheetFormatPr defaultRowHeight="14" x14ac:dyDescent="0.3"/>
  <cols>
    <col min="1" max="1" width="14.1640625" customWidth="1"/>
    <col min="2" max="2" width="17.4140625" customWidth="1"/>
  </cols>
  <sheetData>
    <row r="1" spans="1:2" x14ac:dyDescent="0.3">
      <c r="A1" s="1" t="s">
        <v>0</v>
      </c>
      <c r="B1" s="1" t="s">
        <v>10</v>
      </c>
    </row>
    <row r="2" spans="1:2" x14ac:dyDescent="0.3">
      <c r="A2" t="s">
        <v>40</v>
      </c>
      <c r="B2" s="11">
        <v>68</v>
      </c>
    </row>
    <row r="3" spans="1:2" x14ac:dyDescent="0.3">
      <c r="A3" s="5" t="s">
        <v>32</v>
      </c>
      <c r="B3" s="9">
        <v>57.46</v>
      </c>
    </row>
    <row r="4" spans="1:2" x14ac:dyDescent="0.3">
      <c r="A4" t="s">
        <v>31</v>
      </c>
      <c r="B4" s="12">
        <v>57.28</v>
      </c>
    </row>
    <row r="5" spans="1:2" x14ac:dyDescent="0.3">
      <c r="A5" t="s">
        <v>38</v>
      </c>
      <c r="B5" s="7">
        <v>53.97</v>
      </c>
    </row>
    <row r="6" spans="1:2" x14ac:dyDescent="0.3">
      <c r="A6" t="s">
        <v>36</v>
      </c>
      <c r="B6" s="7">
        <v>50</v>
      </c>
    </row>
    <row r="7" spans="1:2" x14ac:dyDescent="0.3">
      <c r="A7" t="s">
        <v>44</v>
      </c>
      <c r="B7" s="7">
        <v>50</v>
      </c>
    </row>
    <row r="8" spans="1:2" x14ac:dyDescent="0.3">
      <c r="A8" t="s">
        <v>47</v>
      </c>
      <c r="B8" s="7">
        <v>50</v>
      </c>
    </row>
    <row r="9" spans="1:2" x14ac:dyDescent="0.3">
      <c r="A9" t="s">
        <v>49</v>
      </c>
      <c r="B9" s="7">
        <v>50</v>
      </c>
    </row>
    <row r="10" spans="1:2" x14ac:dyDescent="0.3">
      <c r="A10" s="5" t="s">
        <v>43</v>
      </c>
      <c r="B10" s="7">
        <v>49.15</v>
      </c>
    </row>
    <row r="11" spans="1:2" x14ac:dyDescent="0.3">
      <c r="A11" t="s">
        <v>37</v>
      </c>
      <c r="B11" s="7">
        <v>48.78</v>
      </c>
    </row>
    <row r="12" spans="1:2" x14ac:dyDescent="0.3">
      <c r="A12" t="s">
        <v>35</v>
      </c>
      <c r="B12" s="7">
        <v>47.83</v>
      </c>
    </row>
    <row r="13" spans="1:2" x14ac:dyDescent="0.3">
      <c r="A13" t="s">
        <v>41</v>
      </c>
      <c r="B13" s="7">
        <v>46.27</v>
      </c>
    </row>
    <row r="14" spans="1:2" x14ac:dyDescent="0.3">
      <c r="A14" t="s">
        <v>33</v>
      </c>
      <c r="B14" s="7">
        <v>44.19</v>
      </c>
    </row>
    <row r="15" spans="1:2" x14ac:dyDescent="0.3">
      <c r="A15" t="s">
        <v>48</v>
      </c>
      <c r="B15" s="7">
        <v>43.75</v>
      </c>
    </row>
    <row r="16" spans="1:2" x14ac:dyDescent="0.3">
      <c r="A16" t="s">
        <v>42</v>
      </c>
      <c r="B16" s="7">
        <v>42.22</v>
      </c>
    </row>
    <row r="17" spans="1:2" x14ac:dyDescent="0.3">
      <c r="A17" t="s">
        <v>39</v>
      </c>
      <c r="B17" s="7">
        <v>41.35</v>
      </c>
    </row>
    <row r="18" spans="1:2" x14ac:dyDescent="0.3">
      <c r="A18" s="5" t="s">
        <v>50</v>
      </c>
      <c r="B18" s="7">
        <v>41.18</v>
      </c>
    </row>
    <row r="19" spans="1:2" x14ac:dyDescent="0.3">
      <c r="A19" t="s">
        <v>45</v>
      </c>
      <c r="B19" s="6">
        <v>41.07</v>
      </c>
    </row>
    <row r="20" spans="1:2" x14ac:dyDescent="0.3">
      <c r="A20" s="5" t="s">
        <v>34</v>
      </c>
      <c r="B20" s="10">
        <v>39.29</v>
      </c>
    </row>
    <row r="21" spans="1:2" x14ac:dyDescent="0.3">
      <c r="A21" s="5" t="s">
        <v>46</v>
      </c>
      <c r="B21" s="8">
        <v>36.11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A480-ECD0-4F15-932A-0F5F333BCB29}">
  <dimension ref="A1:B21"/>
  <sheetViews>
    <sheetView workbookViewId="0">
      <selection activeCell="C5" sqref="C5"/>
    </sheetView>
  </sheetViews>
  <sheetFormatPr defaultRowHeight="14" x14ac:dyDescent="0.3"/>
  <cols>
    <col min="1" max="1" width="13.9140625" customWidth="1"/>
    <col min="2" max="2" width="17.33203125" customWidth="1"/>
  </cols>
  <sheetData>
    <row r="1" spans="1:2" x14ac:dyDescent="0.3">
      <c r="A1" s="1" t="s">
        <v>0</v>
      </c>
      <c r="B1" s="1" t="s">
        <v>11</v>
      </c>
    </row>
    <row r="2" spans="1:2" x14ac:dyDescent="0.3">
      <c r="A2" t="s">
        <v>38</v>
      </c>
      <c r="B2" s="11">
        <v>31.745999999999999</v>
      </c>
    </row>
    <row r="3" spans="1:2" x14ac:dyDescent="0.3">
      <c r="A3" s="5" t="s">
        <v>32</v>
      </c>
      <c r="B3" s="9">
        <v>29.103999999999999</v>
      </c>
    </row>
    <row r="4" spans="1:2" x14ac:dyDescent="0.3">
      <c r="A4" t="s">
        <v>40</v>
      </c>
      <c r="B4" s="12">
        <v>28</v>
      </c>
    </row>
    <row r="5" spans="1:2" x14ac:dyDescent="0.3">
      <c r="A5" t="s">
        <v>35</v>
      </c>
      <c r="B5" s="7">
        <v>25</v>
      </c>
    </row>
    <row r="6" spans="1:2" x14ac:dyDescent="0.3">
      <c r="A6" t="s">
        <v>48</v>
      </c>
      <c r="B6" s="7">
        <v>25</v>
      </c>
    </row>
    <row r="7" spans="1:2" x14ac:dyDescent="0.3">
      <c r="A7" t="s">
        <v>49</v>
      </c>
      <c r="B7" s="7">
        <v>25</v>
      </c>
    </row>
    <row r="8" spans="1:2" x14ac:dyDescent="0.3">
      <c r="A8" t="s">
        <v>36</v>
      </c>
      <c r="B8" s="7">
        <v>23.332999999999998</v>
      </c>
    </row>
    <row r="9" spans="1:2" x14ac:dyDescent="0.3">
      <c r="A9" t="s">
        <v>42</v>
      </c>
      <c r="B9" s="7">
        <v>22.222000000000001</v>
      </c>
    </row>
    <row r="10" spans="1:2" x14ac:dyDescent="0.3">
      <c r="A10" t="s">
        <v>47</v>
      </c>
      <c r="B10" s="7">
        <v>22.222000000000001</v>
      </c>
    </row>
    <row r="11" spans="1:2" x14ac:dyDescent="0.3">
      <c r="A11" t="s">
        <v>37</v>
      </c>
      <c r="B11" s="7">
        <v>21.951000000000001</v>
      </c>
    </row>
    <row r="12" spans="1:2" x14ac:dyDescent="0.3">
      <c r="A12" t="s">
        <v>31</v>
      </c>
      <c r="B12" s="7">
        <v>21.359000000000002</v>
      </c>
    </row>
    <row r="13" spans="1:2" x14ac:dyDescent="0.3">
      <c r="A13" t="s">
        <v>33</v>
      </c>
      <c r="B13" s="7">
        <v>18.605</v>
      </c>
    </row>
    <row r="14" spans="1:2" x14ac:dyDescent="0.3">
      <c r="A14" t="s">
        <v>44</v>
      </c>
      <c r="B14" s="7">
        <v>18.181999999999999</v>
      </c>
    </row>
    <row r="15" spans="1:2" x14ac:dyDescent="0.3">
      <c r="A15" t="s">
        <v>45</v>
      </c>
      <c r="B15" s="7">
        <v>17.856999999999999</v>
      </c>
    </row>
    <row r="16" spans="1:2" x14ac:dyDescent="0.3">
      <c r="A16" s="5" t="s">
        <v>50</v>
      </c>
      <c r="B16" s="7">
        <v>17.646999999999998</v>
      </c>
    </row>
    <row r="17" spans="1:2" x14ac:dyDescent="0.3">
      <c r="A17" s="5" t="s">
        <v>43</v>
      </c>
      <c r="B17" s="7">
        <v>16.949000000000002</v>
      </c>
    </row>
    <row r="18" spans="1:2" x14ac:dyDescent="0.3">
      <c r="A18" t="s">
        <v>41</v>
      </c>
      <c r="B18" s="7">
        <v>14.925000000000001</v>
      </c>
    </row>
    <row r="19" spans="1:2" x14ac:dyDescent="0.3">
      <c r="A19" t="s">
        <v>39</v>
      </c>
      <c r="B19" s="6">
        <v>14.423</v>
      </c>
    </row>
    <row r="20" spans="1:2" x14ac:dyDescent="0.3">
      <c r="A20" s="5" t="s">
        <v>34</v>
      </c>
      <c r="B20" s="10">
        <v>13.393000000000001</v>
      </c>
    </row>
    <row r="21" spans="1:2" x14ac:dyDescent="0.3">
      <c r="A21" s="5" t="s">
        <v>46</v>
      </c>
      <c r="B21" s="8">
        <v>5.556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C280-31CC-4D9E-8090-C04D4FCB1797}">
  <dimension ref="A1:B21"/>
  <sheetViews>
    <sheetView workbookViewId="0">
      <selection activeCell="F15" sqref="F15"/>
    </sheetView>
  </sheetViews>
  <sheetFormatPr defaultRowHeight="14" x14ac:dyDescent="0.3"/>
  <cols>
    <col min="1" max="1" width="14.6640625" customWidth="1"/>
    <col min="2" max="2" width="12.58203125" customWidth="1"/>
  </cols>
  <sheetData>
    <row r="1" spans="1:2" x14ac:dyDescent="0.3">
      <c r="A1" s="1" t="s">
        <v>0</v>
      </c>
      <c r="B1" s="1" t="s">
        <v>12</v>
      </c>
    </row>
    <row r="2" spans="1:2" x14ac:dyDescent="0.3">
      <c r="A2" s="5" t="s">
        <v>32</v>
      </c>
      <c r="B2" s="11">
        <v>0.21</v>
      </c>
    </row>
    <row r="3" spans="1:2" x14ac:dyDescent="0.3">
      <c r="A3" s="5" t="s">
        <v>34</v>
      </c>
      <c r="B3" s="9">
        <v>0.2</v>
      </c>
    </row>
    <row r="4" spans="1:2" x14ac:dyDescent="0.3">
      <c r="A4" t="s">
        <v>49</v>
      </c>
      <c r="B4" s="9">
        <v>0.2</v>
      </c>
    </row>
    <row r="5" spans="1:2" x14ac:dyDescent="0.3">
      <c r="A5" t="s">
        <v>33</v>
      </c>
      <c r="B5" s="12">
        <v>0.19</v>
      </c>
    </row>
    <row r="6" spans="1:2" x14ac:dyDescent="0.3">
      <c r="A6" t="s">
        <v>39</v>
      </c>
      <c r="B6" s="12">
        <v>0.19</v>
      </c>
    </row>
    <row r="7" spans="1:2" x14ac:dyDescent="0.3">
      <c r="A7" t="s">
        <v>42</v>
      </c>
      <c r="B7" s="7">
        <v>0.17</v>
      </c>
    </row>
    <row r="8" spans="1:2" x14ac:dyDescent="0.3">
      <c r="A8" s="5" t="s">
        <v>46</v>
      </c>
      <c r="B8" s="7">
        <v>0.16</v>
      </c>
    </row>
    <row r="9" spans="1:2" x14ac:dyDescent="0.3">
      <c r="A9" t="s">
        <v>48</v>
      </c>
      <c r="B9" s="7">
        <v>0.16</v>
      </c>
    </row>
    <row r="10" spans="1:2" x14ac:dyDescent="0.3">
      <c r="A10" t="s">
        <v>35</v>
      </c>
      <c r="B10" s="7">
        <v>0.15</v>
      </c>
    </row>
    <row r="11" spans="1:2" x14ac:dyDescent="0.3">
      <c r="A11" t="s">
        <v>45</v>
      </c>
      <c r="B11" s="7">
        <v>0.15</v>
      </c>
    </row>
    <row r="12" spans="1:2" x14ac:dyDescent="0.3">
      <c r="A12" t="s">
        <v>40</v>
      </c>
      <c r="B12" s="7">
        <v>0.1</v>
      </c>
    </row>
    <row r="13" spans="1:2" x14ac:dyDescent="0.3">
      <c r="A13" s="5" t="s">
        <v>43</v>
      </c>
      <c r="B13" s="7">
        <v>0.1</v>
      </c>
    </row>
    <row r="14" spans="1:2" x14ac:dyDescent="0.3">
      <c r="A14" t="s">
        <v>31</v>
      </c>
      <c r="B14" s="7">
        <v>0.06</v>
      </c>
    </row>
    <row r="15" spans="1:2" x14ac:dyDescent="0.3">
      <c r="A15" t="s">
        <v>37</v>
      </c>
      <c r="B15" s="7">
        <v>0.06</v>
      </c>
    </row>
    <row r="16" spans="1:2" x14ac:dyDescent="0.3">
      <c r="A16" t="s">
        <v>38</v>
      </c>
      <c r="B16" s="7">
        <v>0.06</v>
      </c>
    </row>
    <row r="17" spans="1:2" x14ac:dyDescent="0.3">
      <c r="A17" t="s">
        <v>41</v>
      </c>
      <c r="B17" s="6">
        <v>0.04</v>
      </c>
    </row>
    <row r="18" spans="1:2" x14ac:dyDescent="0.3">
      <c r="A18" t="s">
        <v>36</v>
      </c>
      <c r="B18" s="10">
        <v>0.03</v>
      </c>
    </row>
    <row r="19" spans="1:2" x14ac:dyDescent="0.3">
      <c r="A19" t="s">
        <v>44</v>
      </c>
      <c r="B19" s="8">
        <v>0</v>
      </c>
    </row>
    <row r="20" spans="1:2" x14ac:dyDescent="0.3">
      <c r="A20" t="s">
        <v>47</v>
      </c>
      <c r="B20" s="8">
        <v>0</v>
      </c>
    </row>
    <row r="21" spans="1:2" x14ac:dyDescent="0.3">
      <c r="A21" s="5" t="s">
        <v>50</v>
      </c>
      <c r="B21" s="8">
        <v>0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854B-4E3E-427A-8B27-C335C207F511}">
  <dimension ref="A1:B21"/>
  <sheetViews>
    <sheetView workbookViewId="0">
      <selection activeCell="F14" sqref="F14"/>
    </sheetView>
  </sheetViews>
  <sheetFormatPr defaultRowHeight="14" x14ac:dyDescent="0.3"/>
  <cols>
    <col min="1" max="1" width="14.25" customWidth="1"/>
  </cols>
  <sheetData>
    <row r="1" spans="1:2" x14ac:dyDescent="0.3">
      <c r="A1" s="1" t="s">
        <v>0</v>
      </c>
      <c r="B1" s="1" t="s">
        <v>13</v>
      </c>
    </row>
    <row r="2" spans="1:2" x14ac:dyDescent="0.3">
      <c r="A2" t="s">
        <v>39</v>
      </c>
      <c r="B2" s="11">
        <v>0.21</v>
      </c>
    </row>
    <row r="3" spans="1:2" x14ac:dyDescent="0.3">
      <c r="A3" s="5" t="s">
        <v>34</v>
      </c>
      <c r="B3" s="9">
        <v>0.18</v>
      </c>
    </row>
    <row r="4" spans="1:2" x14ac:dyDescent="0.3">
      <c r="A4" s="5" t="s">
        <v>32</v>
      </c>
      <c r="B4" s="12">
        <v>0.17</v>
      </c>
    </row>
    <row r="5" spans="1:2" x14ac:dyDescent="0.3">
      <c r="A5" t="s">
        <v>42</v>
      </c>
      <c r="B5" s="7">
        <v>0.14000000000000001</v>
      </c>
    </row>
    <row r="6" spans="1:2" x14ac:dyDescent="0.3">
      <c r="A6" t="s">
        <v>35</v>
      </c>
      <c r="B6" s="7">
        <v>0.12</v>
      </c>
    </row>
    <row r="7" spans="1:2" x14ac:dyDescent="0.3">
      <c r="A7" s="5" t="s">
        <v>43</v>
      </c>
      <c r="B7" s="7">
        <v>0.11</v>
      </c>
    </row>
    <row r="8" spans="1:2" x14ac:dyDescent="0.3">
      <c r="A8" t="s">
        <v>33</v>
      </c>
      <c r="B8" s="7">
        <v>0.1</v>
      </c>
    </row>
    <row r="9" spans="1:2" x14ac:dyDescent="0.3">
      <c r="A9" t="s">
        <v>36</v>
      </c>
      <c r="B9" s="7">
        <v>0.08</v>
      </c>
    </row>
    <row r="10" spans="1:2" x14ac:dyDescent="0.3">
      <c r="A10" t="s">
        <v>48</v>
      </c>
      <c r="B10" s="7">
        <v>0.08</v>
      </c>
    </row>
    <row r="11" spans="1:2" x14ac:dyDescent="0.3">
      <c r="A11" t="s">
        <v>49</v>
      </c>
      <c r="B11" s="7">
        <v>0.08</v>
      </c>
    </row>
    <row r="12" spans="1:2" x14ac:dyDescent="0.3">
      <c r="A12" t="s">
        <v>40</v>
      </c>
      <c r="B12" s="7">
        <v>7.0000000000000007E-2</v>
      </c>
    </row>
    <row r="13" spans="1:2" x14ac:dyDescent="0.3">
      <c r="A13" s="5" t="s">
        <v>46</v>
      </c>
      <c r="B13" s="7">
        <v>7.0000000000000007E-2</v>
      </c>
    </row>
    <row r="14" spans="1:2" x14ac:dyDescent="0.3">
      <c r="A14" t="s">
        <v>31</v>
      </c>
      <c r="B14" s="7">
        <v>0.06</v>
      </c>
    </row>
    <row r="15" spans="1:2" x14ac:dyDescent="0.3">
      <c r="A15" t="s">
        <v>41</v>
      </c>
      <c r="B15" s="7">
        <v>0.06</v>
      </c>
    </row>
    <row r="16" spans="1:2" x14ac:dyDescent="0.3">
      <c r="A16" t="s">
        <v>45</v>
      </c>
      <c r="B16" s="7">
        <v>0.06</v>
      </c>
    </row>
    <row r="17" spans="1:2" x14ac:dyDescent="0.3">
      <c r="A17" t="s">
        <v>37</v>
      </c>
      <c r="B17" s="7">
        <v>0.05</v>
      </c>
    </row>
    <row r="18" spans="1:2" x14ac:dyDescent="0.3">
      <c r="A18" t="s">
        <v>38</v>
      </c>
      <c r="B18" s="7">
        <v>0.05</v>
      </c>
    </row>
    <row r="19" spans="1:2" x14ac:dyDescent="0.3">
      <c r="A19" s="5" t="s">
        <v>50</v>
      </c>
      <c r="B19" s="6">
        <v>0.04</v>
      </c>
    </row>
    <row r="20" spans="1:2" x14ac:dyDescent="0.3">
      <c r="A20" t="s">
        <v>44</v>
      </c>
      <c r="B20" s="10">
        <v>0.03</v>
      </c>
    </row>
    <row r="21" spans="1:2" x14ac:dyDescent="0.3">
      <c r="A21" t="s">
        <v>47</v>
      </c>
      <c r="B21" s="8">
        <v>0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793D-AB04-4631-A0C2-A1E230764A4F}">
  <dimension ref="A1:B21"/>
  <sheetViews>
    <sheetView workbookViewId="0">
      <selection activeCell="E15" sqref="E15"/>
    </sheetView>
  </sheetViews>
  <sheetFormatPr defaultRowHeight="14" x14ac:dyDescent="0.3"/>
  <cols>
    <col min="1" max="1" width="14.4140625" customWidth="1"/>
    <col min="2" max="2" width="20" customWidth="1"/>
  </cols>
  <sheetData>
    <row r="1" spans="1:2" x14ac:dyDescent="0.3">
      <c r="A1" s="1" t="s">
        <v>0</v>
      </c>
      <c r="B1" s="1" t="s">
        <v>14</v>
      </c>
    </row>
    <row r="2" spans="1:2" x14ac:dyDescent="0.3">
      <c r="A2" t="s">
        <v>49</v>
      </c>
      <c r="B2" s="11">
        <v>100</v>
      </c>
    </row>
    <row r="3" spans="1:2" x14ac:dyDescent="0.3">
      <c r="A3" s="5" t="s">
        <v>50</v>
      </c>
      <c r="B3" s="9">
        <v>78.569999999999993</v>
      </c>
    </row>
    <row r="4" spans="1:2" x14ac:dyDescent="0.3">
      <c r="A4" t="s">
        <v>38</v>
      </c>
      <c r="B4" s="12">
        <v>66.67</v>
      </c>
    </row>
    <row r="5" spans="1:2" x14ac:dyDescent="0.3">
      <c r="A5" t="s">
        <v>41</v>
      </c>
      <c r="B5" s="12">
        <v>66.67</v>
      </c>
    </row>
    <row r="6" spans="1:2" x14ac:dyDescent="0.3">
      <c r="A6" t="s">
        <v>36</v>
      </c>
      <c r="B6" s="7">
        <v>64.91</v>
      </c>
    </row>
    <row r="7" spans="1:2" x14ac:dyDescent="0.3">
      <c r="A7" s="5" t="s">
        <v>46</v>
      </c>
      <c r="B7" s="7">
        <v>60.87</v>
      </c>
    </row>
    <row r="8" spans="1:2" x14ac:dyDescent="0.3">
      <c r="A8" s="5" t="s">
        <v>43</v>
      </c>
      <c r="B8" s="7">
        <v>56.6</v>
      </c>
    </row>
    <row r="9" spans="1:2" x14ac:dyDescent="0.3">
      <c r="A9" t="s">
        <v>47</v>
      </c>
      <c r="B9" s="7">
        <v>56.25</v>
      </c>
    </row>
    <row r="10" spans="1:2" x14ac:dyDescent="0.3">
      <c r="A10" s="5" t="s">
        <v>32</v>
      </c>
      <c r="B10" s="7">
        <v>55.34</v>
      </c>
    </row>
    <row r="11" spans="1:2" x14ac:dyDescent="0.3">
      <c r="A11" t="s">
        <v>37</v>
      </c>
      <c r="B11" s="7">
        <v>54.55</v>
      </c>
    </row>
    <row r="12" spans="1:2" x14ac:dyDescent="0.3">
      <c r="A12" s="5" t="s">
        <v>34</v>
      </c>
      <c r="B12" s="7">
        <v>53.85</v>
      </c>
    </row>
    <row r="13" spans="1:2" x14ac:dyDescent="0.3">
      <c r="A13" t="s">
        <v>31</v>
      </c>
      <c r="B13" s="7">
        <v>52.94</v>
      </c>
    </row>
    <row r="14" spans="1:2" x14ac:dyDescent="0.3">
      <c r="A14" t="s">
        <v>39</v>
      </c>
      <c r="B14" s="7">
        <v>51.61</v>
      </c>
    </row>
    <row r="15" spans="1:2" x14ac:dyDescent="0.3">
      <c r="A15" t="s">
        <v>40</v>
      </c>
      <c r="B15" s="7">
        <v>47.83</v>
      </c>
    </row>
    <row r="16" spans="1:2" x14ac:dyDescent="0.3">
      <c r="A16" t="s">
        <v>42</v>
      </c>
      <c r="B16" s="7">
        <v>47.06</v>
      </c>
    </row>
    <row r="17" spans="1:2" x14ac:dyDescent="0.3">
      <c r="A17" t="s">
        <v>45</v>
      </c>
      <c r="B17" s="7">
        <v>46.43</v>
      </c>
    </row>
    <row r="18" spans="1:2" x14ac:dyDescent="0.3">
      <c r="A18" t="s">
        <v>33</v>
      </c>
      <c r="B18" s="7">
        <v>45.07</v>
      </c>
    </row>
    <row r="19" spans="1:2" x14ac:dyDescent="0.3">
      <c r="A19" t="s">
        <v>44</v>
      </c>
      <c r="B19" s="6">
        <v>39.47</v>
      </c>
    </row>
    <row r="20" spans="1:2" x14ac:dyDescent="0.3">
      <c r="A20" t="s">
        <v>35</v>
      </c>
      <c r="B20" s="10">
        <v>38.54</v>
      </c>
    </row>
    <row r="21" spans="1:2" x14ac:dyDescent="0.3">
      <c r="A21" t="s">
        <v>48</v>
      </c>
      <c r="B21" s="8">
        <v>25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583E-F56C-408D-8E23-E7608053D685}">
  <dimension ref="A1:B21"/>
  <sheetViews>
    <sheetView workbookViewId="0">
      <selection activeCell="E15" sqref="E15"/>
    </sheetView>
  </sheetViews>
  <sheetFormatPr defaultRowHeight="14" x14ac:dyDescent="0.3"/>
  <cols>
    <col min="1" max="1" width="14.58203125" customWidth="1"/>
    <col min="2" max="2" width="19.75" customWidth="1"/>
  </cols>
  <sheetData>
    <row r="1" spans="1:2" x14ac:dyDescent="0.3">
      <c r="A1" s="1" t="s">
        <v>0</v>
      </c>
      <c r="B1" s="1" t="s">
        <v>15</v>
      </c>
    </row>
    <row r="2" spans="1:2" x14ac:dyDescent="0.3">
      <c r="A2" s="5" t="s">
        <v>32</v>
      </c>
      <c r="B2" s="11">
        <v>16.25</v>
      </c>
    </row>
    <row r="3" spans="1:2" x14ac:dyDescent="0.3">
      <c r="A3" s="5" t="s">
        <v>34</v>
      </c>
      <c r="B3" s="9">
        <v>12.94</v>
      </c>
    </row>
    <row r="4" spans="1:2" x14ac:dyDescent="0.3">
      <c r="A4" t="s">
        <v>42</v>
      </c>
      <c r="B4" s="12">
        <v>12.3</v>
      </c>
    </row>
    <row r="5" spans="1:2" x14ac:dyDescent="0.3">
      <c r="A5" t="s">
        <v>39</v>
      </c>
      <c r="B5" s="7">
        <v>12.02</v>
      </c>
    </row>
    <row r="6" spans="1:2" x14ac:dyDescent="0.3">
      <c r="A6" s="5" t="s">
        <v>43</v>
      </c>
      <c r="B6" s="7">
        <v>11.84</v>
      </c>
    </row>
    <row r="7" spans="1:2" x14ac:dyDescent="0.3">
      <c r="A7" s="5" t="s">
        <v>50</v>
      </c>
      <c r="B7" s="7">
        <v>10.63</v>
      </c>
    </row>
    <row r="8" spans="1:2" x14ac:dyDescent="0.3">
      <c r="A8" t="s">
        <v>44</v>
      </c>
      <c r="B8" s="7">
        <v>10.29</v>
      </c>
    </row>
    <row r="9" spans="1:2" x14ac:dyDescent="0.3">
      <c r="A9" t="s">
        <v>47</v>
      </c>
      <c r="B9" s="7">
        <v>9.6300000000000008</v>
      </c>
    </row>
    <row r="10" spans="1:2" x14ac:dyDescent="0.3">
      <c r="A10" s="5" t="s">
        <v>46</v>
      </c>
      <c r="B10" s="7">
        <v>9.27</v>
      </c>
    </row>
    <row r="11" spans="1:2" x14ac:dyDescent="0.3">
      <c r="A11" t="s">
        <v>36</v>
      </c>
      <c r="B11" s="7">
        <v>9.02</v>
      </c>
    </row>
    <row r="12" spans="1:2" x14ac:dyDescent="0.3">
      <c r="A12" t="s">
        <v>33</v>
      </c>
      <c r="B12" s="7">
        <v>8.0299999999999994</v>
      </c>
    </row>
    <row r="13" spans="1:2" x14ac:dyDescent="0.3">
      <c r="A13" t="s">
        <v>48</v>
      </c>
      <c r="B13" s="7">
        <v>7.83</v>
      </c>
    </row>
    <row r="14" spans="1:2" x14ac:dyDescent="0.3">
      <c r="A14" t="s">
        <v>35</v>
      </c>
      <c r="B14" s="7">
        <v>7.1</v>
      </c>
    </row>
    <row r="15" spans="1:2" x14ac:dyDescent="0.3">
      <c r="A15" t="s">
        <v>40</v>
      </c>
      <c r="B15" s="7">
        <v>6.69</v>
      </c>
    </row>
    <row r="16" spans="1:2" x14ac:dyDescent="0.3">
      <c r="A16" t="s">
        <v>45</v>
      </c>
      <c r="B16" s="7">
        <v>6.24</v>
      </c>
    </row>
    <row r="17" spans="1:2" x14ac:dyDescent="0.3">
      <c r="A17" t="s">
        <v>37</v>
      </c>
      <c r="B17" s="7">
        <v>5.9</v>
      </c>
    </row>
    <row r="18" spans="1:2" x14ac:dyDescent="0.3">
      <c r="A18" t="s">
        <v>41</v>
      </c>
      <c r="B18" s="7">
        <v>5.0999999999999996</v>
      </c>
    </row>
    <row r="19" spans="1:2" x14ac:dyDescent="0.3">
      <c r="A19" t="s">
        <v>31</v>
      </c>
      <c r="B19" s="6">
        <v>4.76</v>
      </c>
    </row>
    <row r="20" spans="1:2" x14ac:dyDescent="0.3">
      <c r="A20" t="s">
        <v>49</v>
      </c>
      <c r="B20" s="10">
        <v>4.0999999999999996</v>
      </c>
    </row>
    <row r="21" spans="1:2" x14ac:dyDescent="0.3">
      <c r="A21" t="s">
        <v>38</v>
      </c>
      <c r="B21" s="8">
        <v>3.63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BE46-C0E7-414C-B36D-11A35747A209}">
  <dimension ref="A1:B21"/>
  <sheetViews>
    <sheetView workbookViewId="0">
      <selection activeCell="F15" sqref="F15"/>
    </sheetView>
  </sheetViews>
  <sheetFormatPr defaultRowHeight="14" x14ac:dyDescent="0.3"/>
  <cols>
    <col min="1" max="1" width="14" customWidth="1"/>
    <col min="2" max="2" width="21.25" customWidth="1"/>
  </cols>
  <sheetData>
    <row r="1" spans="1:2" x14ac:dyDescent="0.3">
      <c r="A1" s="1" t="s">
        <v>0</v>
      </c>
      <c r="B1" s="1" t="s">
        <v>16</v>
      </c>
    </row>
    <row r="2" spans="1:2" x14ac:dyDescent="0.3">
      <c r="A2" t="s">
        <v>39</v>
      </c>
      <c r="B2" s="11">
        <v>45.97</v>
      </c>
    </row>
    <row r="3" spans="1:2" x14ac:dyDescent="0.3">
      <c r="A3" t="s">
        <v>37</v>
      </c>
      <c r="B3" s="9">
        <v>43.06</v>
      </c>
    </row>
    <row r="4" spans="1:2" x14ac:dyDescent="0.3">
      <c r="A4" t="s">
        <v>41</v>
      </c>
      <c r="B4" s="12">
        <v>41.84</v>
      </c>
    </row>
    <row r="5" spans="1:2" x14ac:dyDescent="0.3">
      <c r="A5" s="5" t="s">
        <v>43</v>
      </c>
      <c r="B5" s="7">
        <v>39.83</v>
      </c>
    </row>
    <row r="6" spans="1:2" x14ac:dyDescent="0.3">
      <c r="A6" s="5" t="s">
        <v>32</v>
      </c>
      <c r="B6" s="7">
        <v>39.369999999999997</v>
      </c>
    </row>
    <row r="7" spans="1:2" x14ac:dyDescent="0.3">
      <c r="A7" s="5" t="s">
        <v>50</v>
      </c>
      <c r="B7" s="7">
        <v>36.36</v>
      </c>
    </row>
    <row r="8" spans="1:2" x14ac:dyDescent="0.3">
      <c r="A8" t="s">
        <v>48</v>
      </c>
      <c r="B8" s="7">
        <v>36</v>
      </c>
    </row>
    <row r="9" spans="1:2" x14ac:dyDescent="0.3">
      <c r="A9" t="s">
        <v>42</v>
      </c>
      <c r="B9" s="7">
        <v>33.78</v>
      </c>
    </row>
    <row r="10" spans="1:2" x14ac:dyDescent="0.3">
      <c r="A10" t="s">
        <v>36</v>
      </c>
      <c r="B10" s="7">
        <v>33.33</v>
      </c>
    </row>
    <row r="11" spans="1:2" x14ac:dyDescent="0.3">
      <c r="A11" t="s">
        <v>47</v>
      </c>
      <c r="B11" s="7">
        <v>32.79</v>
      </c>
    </row>
    <row r="12" spans="1:2" x14ac:dyDescent="0.3">
      <c r="A12" s="5" t="s">
        <v>46</v>
      </c>
      <c r="B12" s="7">
        <v>32.200000000000003</v>
      </c>
    </row>
    <row r="13" spans="1:2" x14ac:dyDescent="0.3">
      <c r="A13" t="s">
        <v>31</v>
      </c>
      <c r="B13" s="7">
        <v>31.85</v>
      </c>
    </row>
    <row r="14" spans="1:2" x14ac:dyDescent="0.3">
      <c r="A14" t="s">
        <v>49</v>
      </c>
      <c r="B14" s="7">
        <v>31.71</v>
      </c>
    </row>
    <row r="15" spans="1:2" x14ac:dyDescent="0.3">
      <c r="A15" t="s">
        <v>33</v>
      </c>
      <c r="B15" s="7">
        <v>31.25</v>
      </c>
    </row>
    <row r="16" spans="1:2" x14ac:dyDescent="0.3">
      <c r="A16" s="5" t="s">
        <v>34</v>
      </c>
      <c r="B16" s="7">
        <v>30.96</v>
      </c>
    </row>
    <row r="17" spans="1:2" x14ac:dyDescent="0.3">
      <c r="A17" t="s">
        <v>38</v>
      </c>
      <c r="B17" s="7">
        <v>29.46</v>
      </c>
    </row>
    <row r="18" spans="1:2" x14ac:dyDescent="0.3">
      <c r="A18" t="s">
        <v>35</v>
      </c>
      <c r="B18" s="7">
        <v>26.58</v>
      </c>
    </row>
    <row r="19" spans="1:2" x14ac:dyDescent="0.3">
      <c r="A19" t="s">
        <v>45</v>
      </c>
      <c r="B19" s="6">
        <v>25.93</v>
      </c>
    </row>
    <row r="20" spans="1:2" x14ac:dyDescent="0.3">
      <c r="A20" t="s">
        <v>44</v>
      </c>
      <c r="B20" s="10">
        <v>25.38</v>
      </c>
    </row>
    <row r="21" spans="1:2" x14ac:dyDescent="0.3">
      <c r="A21" t="s">
        <v>40</v>
      </c>
      <c r="B21" s="8">
        <v>21.05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0A41-7F00-4C24-8369-7EBE15442FE3}">
  <dimension ref="A1:B21"/>
  <sheetViews>
    <sheetView workbookViewId="0">
      <selection activeCell="E15" sqref="E15"/>
    </sheetView>
  </sheetViews>
  <sheetFormatPr defaultRowHeight="14" x14ac:dyDescent="0.3"/>
  <cols>
    <col min="1" max="1" width="14" customWidth="1"/>
    <col min="2" max="2" width="19.6640625" customWidth="1"/>
  </cols>
  <sheetData>
    <row r="1" spans="1:2" x14ac:dyDescent="0.3">
      <c r="A1" s="1" t="s">
        <v>0</v>
      </c>
      <c r="B1" s="1" t="s">
        <v>17</v>
      </c>
    </row>
    <row r="2" spans="1:2" x14ac:dyDescent="0.3">
      <c r="A2" s="5" t="s">
        <v>32</v>
      </c>
      <c r="B2" s="11">
        <v>6.79</v>
      </c>
    </row>
    <row r="3" spans="1:2" x14ac:dyDescent="0.3">
      <c r="A3" s="5" t="s">
        <v>34</v>
      </c>
      <c r="B3" s="9">
        <v>5.39</v>
      </c>
    </row>
    <row r="4" spans="1:2" x14ac:dyDescent="0.3">
      <c r="A4" t="s">
        <v>35</v>
      </c>
      <c r="B4" s="12">
        <v>4.97</v>
      </c>
    </row>
    <row r="5" spans="1:2" x14ac:dyDescent="0.3">
      <c r="A5" t="s">
        <v>31</v>
      </c>
      <c r="B5" s="7">
        <v>4.91</v>
      </c>
    </row>
    <row r="6" spans="1:2" x14ac:dyDescent="0.3">
      <c r="A6" t="s">
        <v>33</v>
      </c>
      <c r="B6" s="7">
        <v>4.68</v>
      </c>
    </row>
    <row r="7" spans="1:2" x14ac:dyDescent="0.3">
      <c r="A7" t="s">
        <v>41</v>
      </c>
      <c r="B7" s="7">
        <v>4.49</v>
      </c>
    </row>
    <row r="8" spans="1:2" x14ac:dyDescent="0.3">
      <c r="A8" t="s">
        <v>42</v>
      </c>
      <c r="B8" s="7">
        <v>4.12</v>
      </c>
    </row>
    <row r="9" spans="1:2" x14ac:dyDescent="0.3">
      <c r="A9" t="s">
        <v>48</v>
      </c>
      <c r="B9" s="7">
        <v>4.07</v>
      </c>
    </row>
    <row r="10" spans="1:2" x14ac:dyDescent="0.3">
      <c r="A10" t="s">
        <v>47</v>
      </c>
      <c r="B10" s="7">
        <v>4.03</v>
      </c>
    </row>
    <row r="11" spans="1:2" x14ac:dyDescent="0.3">
      <c r="A11" t="s">
        <v>37</v>
      </c>
      <c r="B11" s="7">
        <v>3.98</v>
      </c>
    </row>
    <row r="12" spans="1:2" x14ac:dyDescent="0.3">
      <c r="A12" s="5" t="s">
        <v>43</v>
      </c>
      <c r="B12" s="7">
        <v>3.76</v>
      </c>
    </row>
    <row r="13" spans="1:2" x14ac:dyDescent="0.3">
      <c r="A13" t="s">
        <v>44</v>
      </c>
      <c r="B13" s="7">
        <v>3.6</v>
      </c>
    </row>
    <row r="14" spans="1:2" x14ac:dyDescent="0.3">
      <c r="A14" t="s">
        <v>45</v>
      </c>
      <c r="B14" s="7">
        <v>3.47</v>
      </c>
    </row>
    <row r="15" spans="1:2" x14ac:dyDescent="0.3">
      <c r="A15" t="s">
        <v>39</v>
      </c>
      <c r="B15" s="7">
        <v>3.25</v>
      </c>
    </row>
    <row r="16" spans="1:2" x14ac:dyDescent="0.3">
      <c r="A16" s="5" t="s">
        <v>46</v>
      </c>
      <c r="B16" s="7">
        <v>3.25</v>
      </c>
    </row>
    <row r="17" spans="1:2" x14ac:dyDescent="0.3">
      <c r="A17" s="5" t="s">
        <v>50</v>
      </c>
      <c r="B17" s="7">
        <v>3.22</v>
      </c>
    </row>
    <row r="18" spans="1:2" x14ac:dyDescent="0.3">
      <c r="A18" t="s">
        <v>40</v>
      </c>
      <c r="B18" s="7">
        <v>3.14</v>
      </c>
    </row>
    <row r="19" spans="1:2" x14ac:dyDescent="0.3">
      <c r="A19" t="s">
        <v>49</v>
      </c>
      <c r="B19" s="6">
        <v>3</v>
      </c>
    </row>
    <row r="20" spans="1:2" x14ac:dyDescent="0.3">
      <c r="A20" t="s">
        <v>36</v>
      </c>
      <c r="B20" s="10">
        <v>2.85</v>
      </c>
    </row>
    <row r="21" spans="1:2" x14ac:dyDescent="0.3">
      <c r="A21" t="s">
        <v>38</v>
      </c>
      <c r="B21" s="8">
        <v>2.76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A263-6F4D-4F42-A8C1-2483DEFB57E9}">
  <dimension ref="A1:B21"/>
  <sheetViews>
    <sheetView workbookViewId="0">
      <selection activeCell="E18" sqref="E18"/>
    </sheetView>
  </sheetViews>
  <sheetFormatPr defaultRowHeight="14" x14ac:dyDescent="0.3"/>
  <cols>
    <col min="1" max="1" width="14.1640625" customWidth="1"/>
    <col min="2" max="2" width="20.9140625" customWidth="1"/>
  </cols>
  <sheetData>
    <row r="1" spans="1:2" x14ac:dyDescent="0.3">
      <c r="A1" s="1" t="s">
        <v>0</v>
      </c>
      <c r="B1" s="1" t="s">
        <v>18</v>
      </c>
    </row>
    <row r="2" spans="1:2" x14ac:dyDescent="0.3">
      <c r="A2" t="s">
        <v>39</v>
      </c>
      <c r="B2" s="11">
        <v>3.34</v>
      </c>
    </row>
    <row r="3" spans="1:2" x14ac:dyDescent="0.3">
      <c r="A3" s="5" t="s">
        <v>32</v>
      </c>
      <c r="B3" s="9">
        <v>3.09</v>
      </c>
    </row>
    <row r="4" spans="1:2" x14ac:dyDescent="0.3">
      <c r="A4" s="5" t="s">
        <v>34</v>
      </c>
      <c r="B4" s="12">
        <v>3.02</v>
      </c>
    </row>
    <row r="5" spans="1:2" x14ac:dyDescent="0.3">
      <c r="A5" s="5" t="s">
        <v>43</v>
      </c>
      <c r="B5" s="7">
        <v>2.94</v>
      </c>
    </row>
    <row r="6" spans="1:2" x14ac:dyDescent="0.3">
      <c r="A6" t="s">
        <v>42</v>
      </c>
      <c r="B6" s="7">
        <v>2.12</v>
      </c>
    </row>
    <row r="7" spans="1:2" x14ac:dyDescent="0.3">
      <c r="A7" t="s">
        <v>35</v>
      </c>
      <c r="B7" s="7">
        <v>2.04</v>
      </c>
    </row>
    <row r="8" spans="1:2" x14ac:dyDescent="0.3">
      <c r="A8" s="5" t="s">
        <v>46</v>
      </c>
      <c r="B8" s="7">
        <v>1.62</v>
      </c>
    </row>
    <row r="9" spans="1:2" x14ac:dyDescent="0.3">
      <c r="A9" t="s">
        <v>33</v>
      </c>
      <c r="B9" s="7">
        <v>1.41</v>
      </c>
    </row>
    <row r="10" spans="1:2" x14ac:dyDescent="0.3">
      <c r="A10" t="s">
        <v>37</v>
      </c>
      <c r="B10" s="7">
        <v>1.33</v>
      </c>
    </row>
    <row r="11" spans="1:2" x14ac:dyDescent="0.3">
      <c r="A11" t="s">
        <v>36</v>
      </c>
      <c r="B11" s="7">
        <v>1.28</v>
      </c>
    </row>
    <row r="12" spans="1:2" x14ac:dyDescent="0.3">
      <c r="A12" t="s">
        <v>44</v>
      </c>
      <c r="B12" s="7">
        <v>1.1499999999999999</v>
      </c>
    </row>
    <row r="13" spans="1:2" x14ac:dyDescent="0.3">
      <c r="A13" t="s">
        <v>48</v>
      </c>
      <c r="B13" s="7">
        <v>1.1000000000000001</v>
      </c>
    </row>
    <row r="14" spans="1:2" x14ac:dyDescent="0.3">
      <c r="A14" s="5" t="s">
        <v>50</v>
      </c>
      <c r="B14" s="7">
        <v>0.97</v>
      </c>
    </row>
    <row r="15" spans="1:2" x14ac:dyDescent="0.3">
      <c r="A15" t="s">
        <v>41</v>
      </c>
      <c r="B15" s="7">
        <v>0.9</v>
      </c>
    </row>
    <row r="16" spans="1:2" x14ac:dyDescent="0.3">
      <c r="A16" t="s">
        <v>31</v>
      </c>
      <c r="B16" s="7">
        <v>0.55000000000000004</v>
      </c>
    </row>
    <row r="17" spans="1:2" x14ac:dyDescent="0.3">
      <c r="A17" t="s">
        <v>40</v>
      </c>
      <c r="B17" s="7">
        <v>0.51</v>
      </c>
    </row>
    <row r="18" spans="1:2" x14ac:dyDescent="0.3">
      <c r="A18" t="s">
        <v>45</v>
      </c>
      <c r="B18" s="7">
        <v>0.5</v>
      </c>
    </row>
    <row r="19" spans="1:2" x14ac:dyDescent="0.3">
      <c r="A19" t="s">
        <v>47</v>
      </c>
      <c r="B19" s="6">
        <v>0.39</v>
      </c>
    </row>
    <row r="20" spans="1:2" x14ac:dyDescent="0.3">
      <c r="A20" t="s">
        <v>38</v>
      </c>
      <c r="B20" s="10">
        <v>0.28000000000000003</v>
      </c>
    </row>
    <row r="21" spans="1:2" x14ac:dyDescent="0.3">
      <c r="A21" t="s">
        <v>49</v>
      </c>
      <c r="B21" s="8">
        <v>0.2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0CC7-43C3-4C10-81DB-37377AB97F7B}">
  <dimension ref="A1:B21"/>
  <sheetViews>
    <sheetView workbookViewId="0">
      <selection activeCell="E15" sqref="E15"/>
    </sheetView>
  </sheetViews>
  <sheetFormatPr defaultRowHeight="14" x14ac:dyDescent="0.3"/>
  <cols>
    <col min="1" max="1" width="13.9140625" customWidth="1"/>
    <col min="2" max="2" width="20.9140625" customWidth="1"/>
  </cols>
  <sheetData>
    <row r="1" spans="1:2" x14ac:dyDescent="0.3">
      <c r="A1" s="1" t="s">
        <v>0</v>
      </c>
      <c r="B1" s="1" t="s">
        <v>19</v>
      </c>
    </row>
    <row r="2" spans="1:2" x14ac:dyDescent="0.3">
      <c r="A2" t="s">
        <v>37</v>
      </c>
      <c r="B2" s="11">
        <v>22.85</v>
      </c>
    </row>
    <row r="3" spans="1:2" x14ac:dyDescent="0.3">
      <c r="A3" t="s">
        <v>48</v>
      </c>
      <c r="B3" s="9">
        <v>19.45</v>
      </c>
    </row>
    <row r="4" spans="1:2" x14ac:dyDescent="0.3">
      <c r="A4" t="s">
        <v>40</v>
      </c>
      <c r="B4" s="12">
        <v>16.87</v>
      </c>
    </row>
    <row r="5" spans="1:2" x14ac:dyDescent="0.3">
      <c r="A5" s="5" t="s">
        <v>43</v>
      </c>
      <c r="B5" s="7">
        <v>15.24</v>
      </c>
    </row>
    <row r="6" spans="1:2" x14ac:dyDescent="0.3">
      <c r="A6" t="s">
        <v>42</v>
      </c>
      <c r="B6" s="7">
        <v>15.06</v>
      </c>
    </row>
    <row r="7" spans="1:2" x14ac:dyDescent="0.3">
      <c r="A7" t="s">
        <v>31</v>
      </c>
      <c r="B7" s="7">
        <v>15.03</v>
      </c>
    </row>
    <row r="8" spans="1:2" x14ac:dyDescent="0.3">
      <c r="A8" s="5" t="s">
        <v>32</v>
      </c>
      <c r="B8" s="7">
        <v>13.84</v>
      </c>
    </row>
    <row r="9" spans="1:2" x14ac:dyDescent="0.3">
      <c r="A9" s="5" t="s">
        <v>46</v>
      </c>
      <c r="B9" s="7">
        <v>12.96</v>
      </c>
    </row>
    <row r="10" spans="1:2" x14ac:dyDescent="0.3">
      <c r="A10" t="s">
        <v>38</v>
      </c>
      <c r="B10" s="7">
        <v>11.5</v>
      </c>
    </row>
    <row r="11" spans="1:2" x14ac:dyDescent="0.3">
      <c r="A11" t="s">
        <v>49</v>
      </c>
      <c r="B11" s="7">
        <v>10.47</v>
      </c>
    </row>
    <row r="12" spans="1:2" x14ac:dyDescent="0.3">
      <c r="A12" s="5" t="s">
        <v>34</v>
      </c>
      <c r="B12" s="7">
        <v>9.98</v>
      </c>
    </row>
    <row r="13" spans="1:2" x14ac:dyDescent="0.3">
      <c r="A13" t="s">
        <v>47</v>
      </c>
      <c r="B13" s="7">
        <v>9.5500000000000007</v>
      </c>
    </row>
    <row r="14" spans="1:2" x14ac:dyDescent="0.3">
      <c r="A14" t="s">
        <v>33</v>
      </c>
      <c r="B14" s="7">
        <v>8.93</v>
      </c>
    </row>
    <row r="15" spans="1:2" x14ac:dyDescent="0.3">
      <c r="A15" t="s">
        <v>35</v>
      </c>
      <c r="B15" s="7">
        <v>8.83</v>
      </c>
    </row>
    <row r="16" spans="1:2" x14ac:dyDescent="0.3">
      <c r="A16" t="s">
        <v>36</v>
      </c>
      <c r="B16" s="7">
        <v>8.4499999999999993</v>
      </c>
    </row>
    <row r="17" spans="1:2" x14ac:dyDescent="0.3">
      <c r="A17" t="s">
        <v>39</v>
      </c>
      <c r="B17" s="7">
        <v>8.31</v>
      </c>
    </row>
    <row r="18" spans="1:2" x14ac:dyDescent="0.3">
      <c r="A18" t="s">
        <v>44</v>
      </c>
      <c r="B18" s="7">
        <v>8.18</v>
      </c>
    </row>
    <row r="19" spans="1:2" x14ac:dyDescent="0.3">
      <c r="A19" t="s">
        <v>41</v>
      </c>
      <c r="B19" s="6">
        <v>7.78</v>
      </c>
    </row>
    <row r="20" spans="1:2" x14ac:dyDescent="0.3">
      <c r="A20" s="5" t="s">
        <v>50</v>
      </c>
      <c r="B20" s="10">
        <v>7.06</v>
      </c>
    </row>
    <row r="21" spans="1:2" x14ac:dyDescent="0.3">
      <c r="A21" t="s">
        <v>45</v>
      </c>
      <c r="B21" s="8">
        <v>5.84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0274-5C18-499B-866F-EAF8212AFF4B}">
  <dimension ref="A1:B21"/>
  <sheetViews>
    <sheetView workbookViewId="0">
      <selection activeCell="G23" sqref="G23"/>
    </sheetView>
  </sheetViews>
  <sheetFormatPr defaultRowHeight="14" x14ac:dyDescent="0.3"/>
  <cols>
    <col min="1" max="1" width="14.1640625" customWidth="1"/>
    <col min="2" max="2" width="25.25" customWidth="1"/>
  </cols>
  <sheetData>
    <row r="1" spans="1:2" x14ac:dyDescent="0.3">
      <c r="A1" s="1" t="s">
        <v>0</v>
      </c>
      <c r="B1" s="1" t="s">
        <v>20</v>
      </c>
    </row>
    <row r="2" spans="1:2" x14ac:dyDescent="0.3">
      <c r="A2" s="5" t="s">
        <v>50</v>
      </c>
      <c r="B2" s="11">
        <v>2.42</v>
      </c>
    </row>
    <row r="3" spans="1:2" x14ac:dyDescent="0.3">
      <c r="A3" s="5" t="s">
        <v>32</v>
      </c>
      <c r="B3" s="9">
        <v>2.2200000000000002</v>
      </c>
    </row>
    <row r="4" spans="1:2" x14ac:dyDescent="0.3">
      <c r="A4" s="5" t="s">
        <v>34</v>
      </c>
      <c r="B4" s="12">
        <v>2.0699999999999998</v>
      </c>
    </row>
    <row r="5" spans="1:2" x14ac:dyDescent="0.3">
      <c r="A5" t="s">
        <v>44</v>
      </c>
      <c r="B5" s="7">
        <v>1.93</v>
      </c>
    </row>
    <row r="6" spans="1:2" x14ac:dyDescent="0.3">
      <c r="A6" t="s">
        <v>38</v>
      </c>
      <c r="B6" s="7">
        <v>1.86</v>
      </c>
    </row>
    <row r="7" spans="1:2" x14ac:dyDescent="0.3">
      <c r="A7" t="s">
        <v>41</v>
      </c>
      <c r="B7" s="7">
        <v>1.85</v>
      </c>
    </row>
    <row r="8" spans="1:2" x14ac:dyDescent="0.3">
      <c r="A8" t="s">
        <v>40</v>
      </c>
      <c r="B8" s="7">
        <v>1.76</v>
      </c>
    </row>
    <row r="9" spans="1:2" x14ac:dyDescent="0.3">
      <c r="A9" s="5" t="s">
        <v>46</v>
      </c>
      <c r="B9" s="7">
        <v>1.73</v>
      </c>
    </row>
    <row r="10" spans="1:2" x14ac:dyDescent="0.3">
      <c r="A10" t="s">
        <v>49</v>
      </c>
      <c r="B10" s="7">
        <v>1.7</v>
      </c>
    </row>
    <row r="11" spans="1:2" x14ac:dyDescent="0.3">
      <c r="A11" t="s">
        <v>47</v>
      </c>
      <c r="B11" s="7">
        <v>1.66</v>
      </c>
    </row>
    <row r="12" spans="1:2" x14ac:dyDescent="0.3">
      <c r="A12" t="s">
        <v>31</v>
      </c>
      <c r="B12" s="7">
        <v>1.46</v>
      </c>
    </row>
    <row r="13" spans="1:2" x14ac:dyDescent="0.3">
      <c r="A13" t="s">
        <v>35</v>
      </c>
      <c r="B13" s="7">
        <v>1.44</v>
      </c>
    </row>
    <row r="14" spans="1:2" x14ac:dyDescent="0.3">
      <c r="A14" t="s">
        <v>39</v>
      </c>
      <c r="B14" s="7">
        <v>1.37</v>
      </c>
    </row>
    <row r="15" spans="1:2" x14ac:dyDescent="0.3">
      <c r="A15" t="s">
        <v>33</v>
      </c>
      <c r="B15" s="7">
        <v>1.32</v>
      </c>
    </row>
    <row r="16" spans="1:2" x14ac:dyDescent="0.3">
      <c r="A16" t="s">
        <v>42</v>
      </c>
      <c r="B16" s="7">
        <v>1.29</v>
      </c>
    </row>
    <row r="17" spans="1:2" x14ac:dyDescent="0.3">
      <c r="A17" t="s">
        <v>36</v>
      </c>
      <c r="B17" s="7">
        <v>1.28</v>
      </c>
    </row>
    <row r="18" spans="1:2" x14ac:dyDescent="0.3">
      <c r="A18" s="5" t="s">
        <v>43</v>
      </c>
      <c r="B18" s="7">
        <v>1.1200000000000001</v>
      </c>
    </row>
    <row r="19" spans="1:2" x14ac:dyDescent="0.3">
      <c r="A19" t="s">
        <v>48</v>
      </c>
      <c r="B19" s="6">
        <v>1.1000000000000001</v>
      </c>
    </row>
    <row r="20" spans="1:2" x14ac:dyDescent="0.3">
      <c r="A20" t="s">
        <v>37</v>
      </c>
      <c r="B20" s="10">
        <v>0.85</v>
      </c>
    </row>
    <row r="21" spans="1:2" x14ac:dyDescent="0.3">
      <c r="A21" t="s">
        <v>45</v>
      </c>
      <c r="B21" s="8">
        <v>0.5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D666-826E-44FB-AB0B-959410DCDC94}">
  <dimension ref="A1:B21"/>
  <sheetViews>
    <sheetView workbookViewId="0">
      <selection activeCell="D8" sqref="D8"/>
    </sheetView>
  </sheetViews>
  <sheetFormatPr defaultRowHeight="14" x14ac:dyDescent="0.3"/>
  <cols>
    <col min="1" max="1" width="13.83203125" customWidth="1"/>
    <col min="2" max="2" width="16.75" customWidth="1"/>
  </cols>
  <sheetData>
    <row r="1" spans="1:2" x14ac:dyDescent="0.3">
      <c r="A1" s="1" t="s">
        <v>0</v>
      </c>
      <c r="B1" s="1" t="s">
        <v>21</v>
      </c>
    </row>
    <row r="2" spans="1:2" x14ac:dyDescent="0.3">
      <c r="A2" t="s">
        <v>39</v>
      </c>
      <c r="B2" s="11">
        <v>1.56</v>
      </c>
    </row>
    <row r="3" spans="1:2" x14ac:dyDescent="0.3">
      <c r="A3" s="5" t="s">
        <v>32</v>
      </c>
      <c r="B3" s="9">
        <v>1.47</v>
      </c>
    </row>
    <row r="4" spans="1:2" x14ac:dyDescent="0.3">
      <c r="A4" t="s">
        <v>42</v>
      </c>
      <c r="B4" s="12">
        <v>1.1599999999999999</v>
      </c>
    </row>
    <row r="5" spans="1:2" x14ac:dyDescent="0.3">
      <c r="A5" s="5" t="s">
        <v>34</v>
      </c>
      <c r="B5" s="7">
        <v>1.08</v>
      </c>
    </row>
    <row r="6" spans="1:2" x14ac:dyDescent="0.3">
      <c r="A6" t="s">
        <v>35</v>
      </c>
      <c r="B6" s="7">
        <v>0.9</v>
      </c>
    </row>
    <row r="7" spans="1:2" x14ac:dyDescent="0.3">
      <c r="A7" t="s">
        <v>49</v>
      </c>
      <c r="B7" s="7">
        <v>0.8</v>
      </c>
    </row>
    <row r="8" spans="1:2" x14ac:dyDescent="0.3">
      <c r="A8" t="s">
        <v>41</v>
      </c>
      <c r="B8" s="7">
        <v>0.65</v>
      </c>
    </row>
    <row r="9" spans="1:2" x14ac:dyDescent="0.3">
      <c r="A9" t="s">
        <v>36</v>
      </c>
      <c r="B9" s="7">
        <v>0.59</v>
      </c>
    </row>
    <row r="10" spans="1:2" x14ac:dyDescent="0.3">
      <c r="A10" t="s">
        <v>31</v>
      </c>
      <c r="B10" s="7">
        <v>0.57999999999999996</v>
      </c>
    </row>
    <row r="11" spans="1:2" x14ac:dyDescent="0.3">
      <c r="A11" t="s">
        <v>45</v>
      </c>
      <c r="B11" s="7">
        <v>0.57999999999999996</v>
      </c>
    </row>
    <row r="12" spans="1:2" x14ac:dyDescent="0.3">
      <c r="A12" t="s">
        <v>33</v>
      </c>
      <c r="B12" s="7">
        <v>0.56000000000000005</v>
      </c>
    </row>
    <row r="13" spans="1:2" x14ac:dyDescent="0.3">
      <c r="A13" s="5" t="s">
        <v>43</v>
      </c>
      <c r="B13" s="7">
        <v>0.56000000000000005</v>
      </c>
    </row>
    <row r="14" spans="1:2" x14ac:dyDescent="0.3">
      <c r="A14" t="s">
        <v>37</v>
      </c>
      <c r="B14" s="7">
        <v>0.51</v>
      </c>
    </row>
    <row r="15" spans="1:2" x14ac:dyDescent="0.3">
      <c r="A15" t="s">
        <v>40</v>
      </c>
      <c r="B15" s="7">
        <v>0.48</v>
      </c>
    </row>
    <row r="16" spans="1:2" x14ac:dyDescent="0.3">
      <c r="A16" t="s">
        <v>44</v>
      </c>
      <c r="B16" s="7">
        <v>0.47</v>
      </c>
    </row>
    <row r="17" spans="1:2" x14ac:dyDescent="0.3">
      <c r="A17" s="5" t="s">
        <v>46</v>
      </c>
      <c r="B17" s="7">
        <v>0.42</v>
      </c>
    </row>
    <row r="18" spans="1:2" x14ac:dyDescent="0.3">
      <c r="A18" t="s">
        <v>38</v>
      </c>
      <c r="B18" s="7">
        <v>0.34</v>
      </c>
    </row>
    <row r="19" spans="1:2" x14ac:dyDescent="0.3">
      <c r="A19" s="5" t="s">
        <v>50</v>
      </c>
      <c r="B19" s="6">
        <v>0.32</v>
      </c>
    </row>
    <row r="20" spans="1:2" x14ac:dyDescent="0.3">
      <c r="A20" t="s">
        <v>48</v>
      </c>
      <c r="B20" s="10">
        <v>0.31</v>
      </c>
    </row>
    <row r="21" spans="1:2" x14ac:dyDescent="0.3">
      <c r="A21" t="s">
        <v>47</v>
      </c>
      <c r="B21" s="8">
        <v>0.08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D6BD-90AD-457B-951B-BCA820C39767}">
  <dimension ref="A1:B21"/>
  <sheetViews>
    <sheetView workbookViewId="0">
      <selection activeCell="E15" sqref="E15"/>
    </sheetView>
  </sheetViews>
  <sheetFormatPr defaultRowHeight="14" x14ac:dyDescent="0.3"/>
  <cols>
    <col min="1" max="1" width="13.9140625" customWidth="1"/>
    <col min="2" max="2" width="19.5" customWidth="1"/>
  </cols>
  <sheetData>
    <row r="1" spans="1:2" x14ac:dyDescent="0.3">
      <c r="A1" s="1" t="s">
        <v>0</v>
      </c>
      <c r="B1" s="1" t="s">
        <v>22</v>
      </c>
    </row>
    <row r="2" spans="1:2" x14ac:dyDescent="0.3">
      <c r="A2" s="5" t="s">
        <v>34</v>
      </c>
      <c r="B2" s="11">
        <v>0.13</v>
      </c>
    </row>
    <row r="3" spans="1:2" x14ac:dyDescent="0.3">
      <c r="A3" t="s">
        <v>45</v>
      </c>
      <c r="B3" s="9">
        <v>0.12</v>
      </c>
    </row>
    <row r="4" spans="1:2" x14ac:dyDescent="0.3">
      <c r="A4" t="s">
        <v>37</v>
      </c>
      <c r="B4" s="12">
        <v>0.11</v>
      </c>
    </row>
    <row r="5" spans="1:2" x14ac:dyDescent="0.3">
      <c r="A5" s="5" t="s">
        <v>32</v>
      </c>
      <c r="B5" s="7">
        <v>0.09</v>
      </c>
    </row>
    <row r="6" spans="1:2" x14ac:dyDescent="0.3">
      <c r="A6" t="s">
        <v>38</v>
      </c>
      <c r="B6" s="7">
        <v>0.06</v>
      </c>
    </row>
    <row r="7" spans="1:2" x14ac:dyDescent="0.3">
      <c r="A7" t="s">
        <v>40</v>
      </c>
      <c r="B7" s="7">
        <v>0.06</v>
      </c>
    </row>
    <row r="8" spans="1:2" x14ac:dyDescent="0.3">
      <c r="A8" t="s">
        <v>44</v>
      </c>
      <c r="B8" s="7">
        <v>0.05</v>
      </c>
    </row>
    <row r="9" spans="1:2" x14ac:dyDescent="0.3">
      <c r="A9" t="s">
        <v>41</v>
      </c>
      <c r="B9" s="6">
        <v>0.04</v>
      </c>
    </row>
    <row r="10" spans="1:2" x14ac:dyDescent="0.3">
      <c r="A10" t="s">
        <v>33</v>
      </c>
      <c r="B10" s="10">
        <v>0.03</v>
      </c>
    </row>
    <row r="11" spans="1:2" x14ac:dyDescent="0.3">
      <c r="A11" t="s">
        <v>35</v>
      </c>
      <c r="B11" s="10">
        <v>0.03</v>
      </c>
    </row>
    <row r="12" spans="1:2" x14ac:dyDescent="0.3">
      <c r="A12" t="s">
        <v>39</v>
      </c>
      <c r="B12" s="10">
        <v>0.03</v>
      </c>
    </row>
    <row r="13" spans="1:2" x14ac:dyDescent="0.3">
      <c r="A13" t="s">
        <v>31</v>
      </c>
      <c r="B13" s="8">
        <v>0</v>
      </c>
    </row>
    <row r="14" spans="1:2" x14ac:dyDescent="0.3">
      <c r="A14" t="s">
        <v>36</v>
      </c>
      <c r="B14" s="8">
        <v>0</v>
      </c>
    </row>
    <row r="15" spans="1:2" x14ac:dyDescent="0.3">
      <c r="A15" t="s">
        <v>42</v>
      </c>
      <c r="B15" s="8">
        <v>0</v>
      </c>
    </row>
    <row r="16" spans="1:2" x14ac:dyDescent="0.3">
      <c r="A16" s="5" t="s">
        <v>43</v>
      </c>
      <c r="B16" s="8">
        <v>0</v>
      </c>
    </row>
    <row r="17" spans="1:2" x14ac:dyDescent="0.3">
      <c r="A17" s="5" t="s">
        <v>46</v>
      </c>
      <c r="B17" s="8">
        <v>0</v>
      </c>
    </row>
    <row r="18" spans="1:2" x14ac:dyDescent="0.3">
      <c r="A18" t="s">
        <v>47</v>
      </c>
      <c r="B18" s="8">
        <v>0</v>
      </c>
    </row>
    <row r="19" spans="1:2" x14ac:dyDescent="0.3">
      <c r="A19" t="s">
        <v>48</v>
      </c>
      <c r="B19" s="8">
        <v>0</v>
      </c>
    </row>
    <row r="20" spans="1:2" x14ac:dyDescent="0.3">
      <c r="A20" t="s">
        <v>49</v>
      </c>
      <c r="B20" s="8">
        <v>0</v>
      </c>
    </row>
    <row r="21" spans="1:2" x14ac:dyDescent="0.3">
      <c r="A21" s="5" t="s">
        <v>50</v>
      </c>
      <c r="B21" s="8">
        <v>0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FF4F-3877-4951-A4D1-C8BE7ABD1FFC}">
  <dimension ref="A1:B21"/>
  <sheetViews>
    <sheetView workbookViewId="0">
      <selection activeCell="E15" sqref="E15"/>
    </sheetView>
  </sheetViews>
  <sheetFormatPr defaultRowHeight="14" x14ac:dyDescent="0.3"/>
  <cols>
    <col min="1" max="1" width="14" customWidth="1"/>
    <col min="2" max="2" width="17.33203125" customWidth="1"/>
  </cols>
  <sheetData>
    <row r="1" spans="1:2" x14ac:dyDescent="0.3">
      <c r="A1" s="1" t="s">
        <v>0</v>
      </c>
      <c r="B1" s="1" t="s">
        <v>23</v>
      </c>
    </row>
    <row r="2" spans="1:2" x14ac:dyDescent="0.3">
      <c r="A2" t="s">
        <v>42</v>
      </c>
      <c r="B2" s="11">
        <v>0.08</v>
      </c>
    </row>
    <row r="3" spans="1:2" x14ac:dyDescent="0.3">
      <c r="A3" s="5" t="s">
        <v>34</v>
      </c>
      <c r="B3" s="9">
        <v>7.0000000000000007E-2</v>
      </c>
    </row>
    <row r="4" spans="1:2" x14ac:dyDescent="0.3">
      <c r="A4" t="s">
        <v>35</v>
      </c>
      <c r="B4" s="12">
        <v>0.06</v>
      </c>
    </row>
    <row r="5" spans="1:2" x14ac:dyDescent="0.3">
      <c r="A5" t="s">
        <v>41</v>
      </c>
      <c r="B5" s="6">
        <v>0.04</v>
      </c>
    </row>
    <row r="6" spans="1:2" x14ac:dyDescent="0.3">
      <c r="A6" t="s">
        <v>45</v>
      </c>
      <c r="B6" s="6">
        <v>0.04</v>
      </c>
    </row>
    <row r="7" spans="1:2" x14ac:dyDescent="0.3">
      <c r="A7" s="5" t="s">
        <v>32</v>
      </c>
      <c r="B7" s="10">
        <v>0.03</v>
      </c>
    </row>
    <row r="8" spans="1:2" x14ac:dyDescent="0.3">
      <c r="A8" t="s">
        <v>38</v>
      </c>
      <c r="B8" s="10">
        <v>0.03</v>
      </c>
    </row>
    <row r="9" spans="1:2" x14ac:dyDescent="0.3">
      <c r="A9" t="s">
        <v>40</v>
      </c>
      <c r="B9" s="10">
        <v>0.03</v>
      </c>
    </row>
    <row r="10" spans="1:2" x14ac:dyDescent="0.3">
      <c r="A10" t="s">
        <v>31</v>
      </c>
      <c r="B10" s="8">
        <v>0</v>
      </c>
    </row>
    <row r="11" spans="1:2" x14ac:dyDescent="0.3">
      <c r="A11" t="s">
        <v>33</v>
      </c>
      <c r="B11" s="8">
        <v>0</v>
      </c>
    </row>
    <row r="12" spans="1:2" x14ac:dyDescent="0.3">
      <c r="A12" t="s">
        <v>36</v>
      </c>
      <c r="B12" s="8">
        <v>0</v>
      </c>
    </row>
    <row r="13" spans="1:2" x14ac:dyDescent="0.3">
      <c r="A13" t="s">
        <v>37</v>
      </c>
      <c r="B13" s="8">
        <v>0</v>
      </c>
    </row>
    <row r="14" spans="1:2" x14ac:dyDescent="0.3">
      <c r="A14" t="s">
        <v>39</v>
      </c>
      <c r="B14" s="8">
        <v>0</v>
      </c>
    </row>
    <row r="15" spans="1:2" x14ac:dyDescent="0.3">
      <c r="A15" s="5" t="s">
        <v>43</v>
      </c>
      <c r="B15" s="8">
        <v>0</v>
      </c>
    </row>
    <row r="16" spans="1:2" x14ac:dyDescent="0.3">
      <c r="A16" t="s">
        <v>44</v>
      </c>
      <c r="B16" s="8">
        <v>0</v>
      </c>
    </row>
    <row r="17" spans="1:2" x14ac:dyDescent="0.3">
      <c r="A17" s="5" t="s">
        <v>46</v>
      </c>
      <c r="B17" s="8">
        <v>0</v>
      </c>
    </row>
    <row r="18" spans="1:2" x14ac:dyDescent="0.3">
      <c r="A18" t="s">
        <v>47</v>
      </c>
      <c r="B18" s="8">
        <v>0</v>
      </c>
    </row>
    <row r="19" spans="1:2" x14ac:dyDescent="0.3">
      <c r="A19" t="s">
        <v>48</v>
      </c>
      <c r="B19" s="8">
        <v>0</v>
      </c>
    </row>
    <row r="20" spans="1:2" x14ac:dyDescent="0.3">
      <c r="A20" t="s">
        <v>49</v>
      </c>
      <c r="B20" s="8">
        <v>0</v>
      </c>
    </row>
    <row r="21" spans="1:2" x14ac:dyDescent="0.3">
      <c r="A21" s="5" t="s">
        <v>50</v>
      </c>
      <c r="B21" s="8">
        <v>0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DAB0-8D73-4E79-9B9F-CDEC92EDF5F8}">
  <dimension ref="A1:B21"/>
  <sheetViews>
    <sheetView workbookViewId="0">
      <selection activeCell="E15" sqref="E15"/>
    </sheetView>
  </sheetViews>
  <sheetFormatPr defaultRowHeight="14" x14ac:dyDescent="0.3"/>
  <cols>
    <col min="1" max="1" width="14.08203125" customWidth="1"/>
    <col min="2" max="2" width="16.25" customWidth="1"/>
  </cols>
  <sheetData>
    <row r="1" spans="1:2" x14ac:dyDescent="0.3">
      <c r="A1" s="1" t="s">
        <v>0</v>
      </c>
      <c r="B1" s="1" t="s">
        <v>24</v>
      </c>
    </row>
    <row r="2" spans="1:2" x14ac:dyDescent="0.3">
      <c r="A2" s="5" t="s">
        <v>34</v>
      </c>
      <c r="B2" s="11">
        <v>0.79</v>
      </c>
    </row>
    <row r="3" spans="1:2" x14ac:dyDescent="0.3">
      <c r="A3" t="s">
        <v>42</v>
      </c>
      <c r="B3" s="11">
        <v>0.79</v>
      </c>
    </row>
    <row r="4" spans="1:2" x14ac:dyDescent="0.3">
      <c r="A4" t="s">
        <v>39</v>
      </c>
      <c r="B4" s="9">
        <v>0.78</v>
      </c>
    </row>
    <row r="5" spans="1:2" x14ac:dyDescent="0.3">
      <c r="A5" s="5" t="s">
        <v>32</v>
      </c>
      <c r="B5" s="12">
        <v>0.63</v>
      </c>
    </row>
    <row r="6" spans="1:2" x14ac:dyDescent="0.3">
      <c r="A6" t="s">
        <v>35</v>
      </c>
      <c r="B6" s="7">
        <v>0.48</v>
      </c>
    </row>
    <row r="7" spans="1:2" x14ac:dyDescent="0.3">
      <c r="A7" s="5" t="s">
        <v>43</v>
      </c>
      <c r="B7" s="7">
        <v>0.46</v>
      </c>
    </row>
    <row r="8" spans="1:2" x14ac:dyDescent="0.3">
      <c r="A8" t="s">
        <v>33</v>
      </c>
      <c r="B8" s="7">
        <v>0.41</v>
      </c>
    </row>
    <row r="9" spans="1:2" x14ac:dyDescent="0.3">
      <c r="A9" t="s">
        <v>49</v>
      </c>
      <c r="B9" s="7">
        <v>0.4</v>
      </c>
    </row>
    <row r="10" spans="1:2" x14ac:dyDescent="0.3">
      <c r="A10" t="s">
        <v>36</v>
      </c>
      <c r="B10" s="7">
        <v>0.34</v>
      </c>
    </row>
    <row r="11" spans="1:2" x14ac:dyDescent="0.3">
      <c r="A11" t="s">
        <v>37</v>
      </c>
      <c r="B11" s="7">
        <v>0.34</v>
      </c>
    </row>
    <row r="12" spans="1:2" x14ac:dyDescent="0.3">
      <c r="A12" t="s">
        <v>40</v>
      </c>
      <c r="B12" s="7">
        <v>0.32</v>
      </c>
    </row>
    <row r="13" spans="1:2" x14ac:dyDescent="0.3">
      <c r="A13" s="5" t="s">
        <v>46</v>
      </c>
      <c r="B13" s="7">
        <v>0.31</v>
      </c>
    </row>
    <row r="14" spans="1:2" x14ac:dyDescent="0.3">
      <c r="A14" t="s">
        <v>31</v>
      </c>
      <c r="B14" s="7">
        <v>0.3</v>
      </c>
    </row>
    <row r="15" spans="1:2" x14ac:dyDescent="0.3">
      <c r="A15" t="s">
        <v>45</v>
      </c>
      <c r="B15" s="7">
        <v>0.23</v>
      </c>
    </row>
    <row r="16" spans="1:2" x14ac:dyDescent="0.3">
      <c r="A16" t="s">
        <v>41</v>
      </c>
      <c r="B16" s="7">
        <v>0.18</v>
      </c>
    </row>
    <row r="17" spans="1:2" x14ac:dyDescent="0.3">
      <c r="A17" t="s">
        <v>48</v>
      </c>
      <c r="B17" s="7">
        <v>0.16</v>
      </c>
    </row>
    <row r="18" spans="1:2" x14ac:dyDescent="0.3">
      <c r="A18" t="s">
        <v>38</v>
      </c>
      <c r="B18" s="6">
        <v>0.14000000000000001</v>
      </c>
    </row>
    <row r="19" spans="1:2" x14ac:dyDescent="0.3">
      <c r="A19" t="s">
        <v>44</v>
      </c>
      <c r="B19" s="10">
        <v>0.1</v>
      </c>
    </row>
    <row r="20" spans="1:2" x14ac:dyDescent="0.3">
      <c r="A20" t="s">
        <v>47</v>
      </c>
      <c r="B20" s="8">
        <v>0</v>
      </c>
    </row>
    <row r="21" spans="1:2" x14ac:dyDescent="0.3">
      <c r="A21" s="5" t="s">
        <v>50</v>
      </c>
      <c r="B21" s="8">
        <v>0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9FA6-1C04-4254-B1B1-5826501DD7DF}">
  <dimension ref="A1:B21"/>
  <sheetViews>
    <sheetView workbookViewId="0">
      <selection activeCell="E15" sqref="E15"/>
    </sheetView>
  </sheetViews>
  <sheetFormatPr defaultRowHeight="14" x14ac:dyDescent="0.3"/>
  <cols>
    <col min="1" max="1" width="14.08203125" customWidth="1"/>
    <col min="2" max="2" width="23.08203125" customWidth="1"/>
  </cols>
  <sheetData>
    <row r="1" spans="1:2" x14ac:dyDescent="0.3">
      <c r="A1" s="1" t="s">
        <v>0</v>
      </c>
      <c r="B1" s="1" t="s">
        <v>25</v>
      </c>
    </row>
    <row r="2" spans="1:2" x14ac:dyDescent="0.3">
      <c r="A2" t="s">
        <v>39</v>
      </c>
      <c r="B2" s="11">
        <v>3.59</v>
      </c>
    </row>
    <row r="3" spans="1:2" x14ac:dyDescent="0.3">
      <c r="A3" t="s">
        <v>42</v>
      </c>
      <c r="B3" s="9">
        <v>2.7</v>
      </c>
    </row>
    <row r="4" spans="1:2" x14ac:dyDescent="0.3">
      <c r="A4" t="s">
        <v>49</v>
      </c>
      <c r="B4" s="12">
        <v>2.4</v>
      </c>
    </row>
    <row r="5" spans="1:2" x14ac:dyDescent="0.3">
      <c r="A5" t="s">
        <v>47</v>
      </c>
      <c r="B5" s="7">
        <v>1.82</v>
      </c>
    </row>
    <row r="6" spans="1:2" x14ac:dyDescent="0.3">
      <c r="A6" t="s">
        <v>37</v>
      </c>
      <c r="B6" s="7">
        <v>1.72</v>
      </c>
    </row>
    <row r="7" spans="1:2" x14ac:dyDescent="0.3">
      <c r="A7" t="s">
        <v>35</v>
      </c>
      <c r="B7" s="7">
        <v>1.41</v>
      </c>
    </row>
    <row r="8" spans="1:2" x14ac:dyDescent="0.3">
      <c r="A8" t="s">
        <v>36</v>
      </c>
      <c r="B8" s="7">
        <v>1.38</v>
      </c>
    </row>
    <row r="9" spans="1:2" x14ac:dyDescent="0.3">
      <c r="A9" s="5" t="s">
        <v>34</v>
      </c>
      <c r="B9" s="7">
        <v>1.25</v>
      </c>
    </row>
    <row r="10" spans="1:2" x14ac:dyDescent="0.3">
      <c r="A10" t="s">
        <v>48</v>
      </c>
      <c r="B10" s="7">
        <v>1.25</v>
      </c>
    </row>
    <row r="11" spans="1:2" x14ac:dyDescent="0.3">
      <c r="A11" t="s">
        <v>38</v>
      </c>
      <c r="B11" s="7">
        <v>1.1599999999999999</v>
      </c>
    </row>
    <row r="12" spans="1:2" x14ac:dyDescent="0.3">
      <c r="A12" t="s">
        <v>45</v>
      </c>
      <c r="B12" s="7">
        <v>0.85</v>
      </c>
    </row>
    <row r="13" spans="1:2" x14ac:dyDescent="0.3">
      <c r="A13" t="s">
        <v>44</v>
      </c>
      <c r="B13" s="7">
        <v>0.84</v>
      </c>
    </row>
    <row r="14" spans="1:2" x14ac:dyDescent="0.3">
      <c r="A14" s="5" t="s">
        <v>50</v>
      </c>
      <c r="B14" s="7">
        <v>0.81</v>
      </c>
    </row>
    <row r="15" spans="1:2" x14ac:dyDescent="0.3">
      <c r="A15" t="s">
        <v>40</v>
      </c>
      <c r="B15" s="7">
        <v>0.8</v>
      </c>
    </row>
    <row r="16" spans="1:2" x14ac:dyDescent="0.3">
      <c r="A16" s="5" t="s">
        <v>46</v>
      </c>
      <c r="B16" s="7">
        <v>0.79</v>
      </c>
    </row>
    <row r="17" spans="1:2" x14ac:dyDescent="0.3">
      <c r="A17" t="s">
        <v>41</v>
      </c>
      <c r="B17" s="7">
        <v>0.76</v>
      </c>
    </row>
    <row r="18" spans="1:2" x14ac:dyDescent="0.3">
      <c r="A18" t="s">
        <v>33</v>
      </c>
      <c r="B18" s="7">
        <v>0.72</v>
      </c>
    </row>
    <row r="19" spans="1:2" x14ac:dyDescent="0.3">
      <c r="A19" s="5" t="s">
        <v>32</v>
      </c>
      <c r="B19" s="6">
        <v>0.56999999999999995</v>
      </c>
    </row>
    <row r="20" spans="1:2" x14ac:dyDescent="0.3">
      <c r="A20" s="5" t="s">
        <v>43</v>
      </c>
      <c r="B20" s="10">
        <v>0.56000000000000005</v>
      </c>
    </row>
    <row r="21" spans="1:2" x14ac:dyDescent="0.3">
      <c r="A21" t="s">
        <v>31</v>
      </c>
      <c r="B21" s="8">
        <v>0.39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DD05-E89A-4436-A950-65DFD6884CD4}">
  <dimension ref="A1:B21"/>
  <sheetViews>
    <sheetView workbookViewId="0">
      <selection activeCell="D15" sqref="D15"/>
    </sheetView>
  </sheetViews>
  <sheetFormatPr defaultRowHeight="14" x14ac:dyDescent="0.3"/>
  <cols>
    <col min="1" max="1" width="14.08203125" customWidth="1"/>
    <col min="2" max="2" width="26.1640625" customWidth="1"/>
  </cols>
  <sheetData>
    <row r="1" spans="1:2" x14ac:dyDescent="0.3">
      <c r="A1" s="1" t="s">
        <v>0</v>
      </c>
      <c r="B1" s="1" t="s">
        <v>26</v>
      </c>
    </row>
    <row r="2" spans="1:2" x14ac:dyDescent="0.3">
      <c r="A2" t="s">
        <v>39</v>
      </c>
      <c r="B2" s="11">
        <v>3.68</v>
      </c>
    </row>
    <row r="3" spans="1:2" x14ac:dyDescent="0.3">
      <c r="A3" t="s">
        <v>42</v>
      </c>
      <c r="B3" s="9">
        <v>2.4900000000000002</v>
      </c>
    </row>
    <row r="4" spans="1:2" x14ac:dyDescent="0.3">
      <c r="A4" s="5" t="s">
        <v>50</v>
      </c>
      <c r="B4" s="12">
        <v>1.77</v>
      </c>
    </row>
    <row r="5" spans="1:2" x14ac:dyDescent="0.3">
      <c r="A5" t="s">
        <v>35</v>
      </c>
      <c r="B5" s="7">
        <v>1.68</v>
      </c>
    </row>
    <row r="6" spans="1:2" x14ac:dyDescent="0.3">
      <c r="A6" s="5" t="s">
        <v>34</v>
      </c>
      <c r="B6" s="7">
        <v>1.61</v>
      </c>
    </row>
    <row r="7" spans="1:2" x14ac:dyDescent="0.3">
      <c r="A7" s="5" t="s">
        <v>32</v>
      </c>
      <c r="B7" s="7">
        <v>1.53</v>
      </c>
    </row>
    <row r="8" spans="1:2" x14ac:dyDescent="0.3">
      <c r="A8" t="s">
        <v>49</v>
      </c>
      <c r="B8" s="7">
        <v>1.3</v>
      </c>
    </row>
    <row r="9" spans="1:2" x14ac:dyDescent="0.3">
      <c r="A9" s="5" t="s">
        <v>46</v>
      </c>
      <c r="B9" s="7">
        <v>1.26</v>
      </c>
    </row>
    <row r="10" spans="1:2" x14ac:dyDescent="0.3">
      <c r="A10" t="s">
        <v>36</v>
      </c>
      <c r="B10" s="7">
        <v>1.1299999999999999</v>
      </c>
    </row>
    <row r="11" spans="1:2" x14ac:dyDescent="0.3">
      <c r="A11" t="s">
        <v>33</v>
      </c>
      <c r="B11" s="7">
        <v>1</v>
      </c>
    </row>
    <row r="12" spans="1:2" x14ac:dyDescent="0.3">
      <c r="A12" s="5" t="s">
        <v>43</v>
      </c>
      <c r="B12" s="7">
        <v>0.82</v>
      </c>
    </row>
    <row r="13" spans="1:2" x14ac:dyDescent="0.3">
      <c r="A13" t="s">
        <v>45</v>
      </c>
      <c r="B13" s="7">
        <v>0.81</v>
      </c>
    </row>
    <row r="14" spans="1:2" x14ac:dyDescent="0.3">
      <c r="A14" t="s">
        <v>37</v>
      </c>
      <c r="B14" s="7">
        <v>0.79</v>
      </c>
    </row>
    <row r="15" spans="1:2" x14ac:dyDescent="0.3">
      <c r="A15" t="s">
        <v>48</v>
      </c>
      <c r="B15" s="7">
        <v>0.78</v>
      </c>
    </row>
    <row r="16" spans="1:2" x14ac:dyDescent="0.3">
      <c r="A16" t="s">
        <v>44</v>
      </c>
      <c r="B16" s="7">
        <v>0.56999999999999995</v>
      </c>
    </row>
    <row r="17" spans="1:2" x14ac:dyDescent="0.3">
      <c r="A17" t="s">
        <v>38</v>
      </c>
      <c r="B17" s="7">
        <v>0.48</v>
      </c>
    </row>
    <row r="18" spans="1:2" x14ac:dyDescent="0.3">
      <c r="A18" t="s">
        <v>41</v>
      </c>
      <c r="B18" s="7">
        <v>0.47</v>
      </c>
    </row>
    <row r="19" spans="1:2" x14ac:dyDescent="0.3">
      <c r="A19" t="s">
        <v>31</v>
      </c>
      <c r="B19" s="6">
        <v>0.46</v>
      </c>
    </row>
    <row r="20" spans="1:2" x14ac:dyDescent="0.3">
      <c r="A20" t="s">
        <v>47</v>
      </c>
      <c r="B20" s="10">
        <v>0.39</v>
      </c>
    </row>
    <row r="21" spans="1:2" x14ac:dyDescent="0.3">
      <c r="A21" t="s">
        <v>40</v>
      </c>
      <c r="B21" s="8">
        <v>0.35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84B9-F82F-468D-BC9C-E0DCEADE8408}">
  <dimension ref="A1:B21"/>
  <sheetViews>
    <sheetView workbookViewId="0">
      <selection activeCell="D10" sqref="D10"/>
    </sheetView>
  </sheetViews>
  <sheetFormatPr defaultRowHeight="14" x14ac:dyDescent="0.3"/>
  <cols>
    <col min="1" max="1" width="14.25" customWidth="1"/>
    <col min="2" max="2" width="30.33203125" customWidth="1"/>
  </cols>
  <sheetData>
    <row r="1" spans="1:2" x14ac:dyDescent="0.3">
      <c r="A1" s="1" t="s">
        <v>0</v>
      </c>
      <c r="B1" s="1" t="s">
        <v>27</v>
      </c>
    </row>
    <row r="2" spans="1:2" x14ac:dyDescent="0.3">
      <c r="A2" t="s">
        <v>48</v>
      </c>
      <c r="B2" s="11">
        <v>80</v>
      </c>
    </row>
    <row r="3" spans="1:2" x14ac:dyDescent="0.3">
      <c r="A3" t="s">
        <v>45</v>
      </c>
      <c r="B3" s="9">
        <v>76.19</v>
      </c>
    </row>
    <row r="4" spans="1:2" x14ac:dyDescent="0.3">
      <c r="A4" s="5" t="s">
        <v>34</v>
      </c>
      <c r="B4" s="12">
        <v>75.510000000000005</v>
      </c>
    </row>
    <row r="5" spans="1:2" x14ac:dyDescent="0.3">
      <c r="A5" t="s">
        <v>44</v>
      </c>
      <c r="B5" s="7">
        <v>72.73</v>
      </c>
    </row>
    <row r="6" spans="1:2" x14ac:dyDescent="0.3">
      <c r="A6" t="s">
        <v>38</v>
      </c>
      <c r="B6" s="7">
        <v>70.59</v>
      </c>
    </row>
    <row r="7" spans="1:2" x14ac:dyDescent="0.3">
      <c r="A7" t="s">
        <v>31</v>
      </c>
      <c r="B7" s="7">
        <v>66.67</v>
      </c>
    </row>
    <row r="8" spans="1:2" x14ac:dyDescent="0.3">
      <c r="A8" t="s">
        <v>33</v>
      </c>
      <c r="B8" s="7">
        <v>65.63</v>
      </c>
    </row>
    <row r="9" spans="1:2" x14ac:dyDescent="0.3">
      <c r="A9" s="5" t="s">
        <v>32</v>
      </c>
      <c r="B9" s="7">
        <v>62.75</v>
      </c>
    </row>
    <row r="10" spans="1:2" x14ac:dyDescent="0.3">
      <c r="A10" t="s">
        <v>47</v>
      </c>
      <c r="B10" s="7">
        <v>60</v>
      </c>
    </row>
    <row r="11" spans="1:2" x14ac:dyDescent="0.3">
      <c r="A11" t="s">
        <v>39</v>
      </c>
      <c r="B11" s="7">
        <v>57.63</v>
      </c>
    </row>
    <row r="12" spans="1:2" x14ac:dyDescent="0.3">
      <c r="A12" t="s">
        <v>35</v>
      </c>
      <c r="B12" s="7">
        <v>53.57</v>
      </c>
    </row>
    <row r="13" spans="1:2" x14ac:dyDescent="0.3">
      <c r="A13" t="s">
        <v>37</v>
      </c>
      <c r="B13" s="7">
        <v>53.57</v>
      </c>
    </row>
    <row r="14" spans="1:2" x14ac:dyDescent="0.3">
      <c r="A14" s="5" t="s">
        <v>43</v>
      </c>
      <c r="B14" s="7">
        <v>52</v>
      </c>
    </row>
    <row r="15" spans="1:2" x14ac:dyDescent="0.3">
      <c r="A15" t="s">
        <v>42</v>
      </c>
      <c r="B15" s="7">
        <v>51.67</v>
      </c>
    </row>
    <row r="16" spans="1:2" x14ac:dyDescent="0.3">
      <c r="A16" t="s">
        <v>36</v>
      </c>
      <c r="B16" s="7">
        <v>50</v>
      </c>
    </row>
    <row r="17" spans="1:2" x14ac:dyDescent="0.3">
      <c r="A17" t="s">
        <v>41</v>
      </c>
      <c r="B17" s="7">
        <v>46.15</v>
      </c>
    </row>
    <row r="18" spans="1:2" x14ac:dyDescent="0.3">
      <c r="A18" t="s">
        <v>49</v>
      </c>
      <c r="B18" s="7">
        <v>46.15</v>
      </c>
    </row>
    <row r="19" spans="1:2" x14ac:dyDescent="0.3">
      <c r="A19" s="5" t="s">
        <v>46</v>
      </c>
      <c r="B19" s="6">
        <v>41.67</v>
      </c>
    </row>
    <row r="20" spans="1:2" x14ac:dyDescent="0.3">
      <c r="A20" t="s">
        <v>40</v>
      </c>
      <c r="B20" s="10">
        <v>36.36</v>
      </c>
    </row>
    <row r="21" spans="1:2" x14ac:dyDescent="0.3">
      <c r="A21" s="5" t="s">
        <v>50</v>
      </c>
      <c r="B21" s="8">
        <v>27.27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6089-B89B-4481-975A-321A4E1B53A7}">
  <dimension ref="A1:B21"/>
  <sheetViews>
    <sheetView workbookViewId="0">
      <selection activeCell="E15" sqref="E15"/>
    </sheetView>
  </sheetViews>
  <sheetFormatPr defaultRowHeight="14" x14ac:dyDescent="0.3"/>
  <cols>
    <col min="1" max="1" width="14.25" customWidth="1"/>
    <col min="2" max="2" width="23.1640625" customWidth="1"/>
  </cols>
  <sheetData>
    <row r="1" spans="1:2" x14ac:dyDescent="0.3">
      <c r="A1" s="1" t="s">
        <v>0</v>
      </c>
      <c r="B1" s="1" t="s">
        <v>28</v>
      </c>
    </row>
    <row r="2" spans="1:2" x14ac:dyDescent="0.3">
      <c r="A2" t="s">
        <v>39</v>
      </c>
      <c r="B2" s="11">
        <v>4.96</v>
      </c>
    </row>
    <row r="3" spans="1:2" x14ac:dyDescent="0.3">
      <c r="A3" t="s">
        <v>42</v>
      </c>
      <c r="B3" s="9">
        <v>3.03</v>
      </c>
    </row>
    <row r="4" spans="1:2" x14ac:dyDescent="0.3">
      <c r="A4" t="s">
        <v>48</v>
      </c>
      <c r="B4" s="12">
        <v>2.0299999999999998</v>
      </c>
    </row>
    <row r="5" spans="1:2" x14ac:dyDescent="0.3">
      <c r="A5" t="s">
        <v>35</v>
      </c>
      <c r="B5" s="7">
        <v>1.83</v>
      </c>
    </row>
    <row r="6" spans="1:2" x14ac:dyDescent="0.3">
      <c r="A6" s="5" t="s">
        <v>46</v>
      </c>
      <c r="B6" s="7">
        <v>1.78</v>
      </c>
    </row>
    <row r="7" spans="1:2" x14ac:dyDescent="0.3">
      <c r="A7" t="s">
        <v>37</v>
      </c>
      <c r="B7" s="7">
        <v>1.75</v>
      </c>
    </row>
    <row r="8" spans="1:2" x14ac:dyDescent="0.3">
      <c r="A8" s="5" t="s">
        <v>34</v>
      </c>
      <c r="B8" s="7">
        <v>1.71</v>
      </c>
    </row>
    <row r="9" spans="1:2" x14ac:dyDescent="0.3">
      <c r="A9" t="s">
        <v>40</v>
      </c>
      <c r="B9" s="7">
        <v>1.5</v>
      </c>
    </row>
    <row r="10" spans="1:2" x14ac:dyDescent="0.3">
      <c r="A10" t="s">
        <v>49</v>
      </c>
      <c r="B10" s="7">
        <v>1.5</v>
      </c>
    </row>
    <row r="11" spans="1:2" x14ac:dyDescent="0.3">
      <c r="A11" t="s">
        <v>38</v>
      </c>
      <c r="B11" s="7">
        <v>1.3</v>
      </c>
    </row>
    <row r="12" spans="1:2" x14ac:dyDescent="0.3">
      <c r="A12" t="s">
        <v>36</v>
      </c>
      <c r="B12" s="7">
        <v>1.19</v>
      </c>
    </row>
    <row r="13" spans="1:2" x14ac:dyDescent="0.3">
      <c r="A13" s="5" t="s">
        <v>32</v>
      </c>
      <c r="B13" s="7">
        <v>1.1399999999999999</v>
      </c>
    </row>
    <row r="14" spans="1:2" x14ac:dyDescent="0.3">
      <c r="A14" t="s">
        <v>45</v>
      </c>
      <c r="B14" s="7">
        <v>1.1200000000000001</v>
      </c>
    </row>
    <row r="15" spans="1:2" x14ac:dyDescent="0.3">
      <c r="A15" t="s">
        <v>47</v>
      </c>
      <c r="B15" s="7">
        <v>0.95</v>
      </c>
    </row>
    <row r="16" spans="1:2" x14ac:dyDescent="0.3">
      <c r="A16" s="5" t="s">
        <v>43</v>
      </c>
      <c r="B16" s="7">
        <v>0.92</v>
      </c>
    </row>
    <row r="17" spans="1:2" x14ac:dyDescent="0.3">
      <c r="A17" t="s">
        <v>44</v>
      </c>
      <c r="B17" s="7">
        <v>0.84</v>
      </c>
    </row>
    <row r="18" spans="1:2" x14ac:dyDescent="0.3">
      <c r="A18" t="s">
        <v>41</v>
      </c>
      <c r="B18" s="7">
        <v>0.76</v>
      </c>
    </row>
    <row r="19" spans="1:2" x14ac:dyDescent="0.3">
      <c r="A19" t="s">
        <v>33</v>
      </c>
      <c r="B19" s="6">
        <v>0.75</v>
      </c>
    </row>
    <row r="20" spans="1:2" x14ac:dyDescent="0.3">
      <c r="A20" s="5" t="s">
        <v>50</v>
      </c>
      <c r="B20" s="10">
        <v>0.64</v>
      </c>
    </row>
    <row r="21" spans="1:2" x14ac:dyDescent="0.3">
      <c r="A21" t="s">
        <v>31</v>
      </c>
      <c r="B21" s="8">
        <v>0.55000000000000004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EB99-875A-4A2A-83AC-286803998290}">
  <dimension ref="A1:B21"/>
  <sheetViews>
    <sheetView workbookViewId="0">
      <selection activeCell="E15" sqref="E15"/>
    </sheetView>
  </sheetViews>
  <sheetFormatPr defaultRowHeight="14" x14ac:dyDescent="0.3"/>
  <cols>
    <col min="1" max="1" width="14.6640625" customWidth="1"/>
    <col min="2" max="2" width="19.5" customWidth="1"/>
  </cols>
  <sheetData>
    <row r="1" spans="1:2" x14ac:dyDescent="0.3">
      <c r="A1" s="1" t="s">
        <v>0</v>
      </c>
      <c r="B1" s="1" t="s">
        <v>29</v>
      </c>
    </row>
    <row r="2" spans="1:2" x14ac:dyDescent="0.3">
      <c r="A2" s="5" t="s">
        <v>32</v>
      </c>
      <c r="B2" s="16">
        <v>100</v>
      </c>
    </row>
    <row r="3" spans="1:2" x14ac:dyDescent="0.3">
      <c r="A3" t="s">
        <v>33</v>
      </c>
      <c r="B3" s="16">
        <v>100</v>
      </c>
    </row>
    <row r="4" spans="1:2" x14ac:dyDescent="0.3">
      <c r="A4" t="s">
        <v>35</v>
      </c>
      <c r="B4" s="16">
        <v>100</v>
      </c>
    </row>
    <row r="5" spans="1:2" x14ac:dyDescent="0.3">
      <c r="A5" t="s">
        <v>36</v>
      </c>
      <c r="B5" s="16">
        <v>100</v>
      </c>
    </row>
    <row r="6" spans="1:2" x14ac:dyDescent="0.3">
      <c r="A6" t="s">
        <v>38</v>
      </c>
      <c r="B6" s="16">
        <v>100</v>
      </c>
    </row>
    <row r="7" spans="1:2" x14ac:dyDescent="0.3">
      <c r="A7" t="s">
        <v>42</v>
      </c>
      <c r="B7" s="16">
        <v>100</v>
      </c>
    </row>
    <row r="8" spans="1:2" x14ac:dyDescent="0.3">
      <c r="A8" t="s">
        <v>45</v>
      </c>
      <c r="B8" s="16">
        <v>100</v>
      </c>
    </row>
    <row r="9" spans="1:2" x14ac:dyDescent="0.3">
      <c r="A9" t="s">
        <v>31</v>
      </c>
      <c r="B9" s="14">
        <v>75</v>
      </c>
    </row>
    <row r="10" spans="1:2" x14ac:dyDescent="0.3">
      <c r="A10" s="5" t="s">
        <v>34</v>
      </c>
      <c r="B10" s="15">
        <v>33.332999999999998</v>
      </c>
    </row>
    <row r="11" spans="1:2" x14ac:dyDescent="0.3">
      <c r="A11" t="s">
        <v>37</v>
      </c>
      <c r="B11" s="13">
        <v>0</v>
      </c>
    </row>
    <row r="12" spans="1:2" x14ac:dyDescent="0.3">
      <c r="A12" t="s">
        <v>39</v>
      </c>
      <c r="B12" s="13">
        <v>0</v>
      </c>
    </row>
    <row r="13" spans="1:2" x14ac:dyDescent="0.3">
      <c r="A13" t="s">
        <v>40</v>
      </c>
      <c r="B13" s="13">
        <v>0</v>
      </c>
    </row>
    <row r="14" spans="1:2" x14ac:dyDescent="0.3">
      <c r="A14" t="s">
        <v>41</v>
      </c>
      <c r="B14" s="13">
        <v>0</v>
      </c>
    </row>
    <row r="15" spans="1:2" x14ac:dyDescent="0.3">
      <c r="A15" s="5" t="s">
        <v>43</v>
      </c>
      <c r="B15" s="13">
        <v>0</v>
      </c>
    </row>
    <row r="16" spans="1:2" x14ac:dyDescent="0.3">
      <c r="A16" t="s">
        <v>44</v>
      </c>
      <c r="B16" s="13">
        <v>0</v>
      </c>
    </row>
    <row r="17" spans="1:2" x14ac:dyDescent="0.3">
      <c r="A17" s="5" t="s">
        <v>46</v>
      </c>
      <c r="B17" s="13">
        <v>0</v>
      </c>
    </row>
    <row r="18" spans="1:2" x14ac:dyDescent="0.3">
      <c r="A18" t="s">
        <v>47</v>
      </c>
      <c r="B18" s="13">
        <v>0</v>
      </c>
    </row>
    <row r="19" spans="1:2" x14ac:dyDescent="0.3">
      <c r="A19" t="s">
        <v>48</v>
      </c>
      <c r="B19" s="13">
        <v>0</v>
      </c>
    </row>
    <row r="20" spans="1:2" x14ac:dyDescent="0.3">
      <c r="A20" t="s">
        <v>49</v>
      </c>
      <c r="B20" s="13">
        <v>0</v>
      </c>
    </row>
    <row r="21" spans="1:2" x14ac:dyDescent="0.3">
      <c r="A21" s="5" t="s">
        <v>50</v>
      </c>
      <c r="B21" s="13">
        <v>0</v>
      </c>
    </row>
  </sheetData>
  <sortState xmlns:xlrd2="http://schemas.microsoft.com/office/spreadsheetml/2017/richdata2" ref="A2:B21">
    <sortCondition descending="1"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Search results (20)</vt:lpstr>
      <vt:lpstr>DDp90</vt:lpstr>
      <vt:lpstr>DDW%</vt:lpstr>
      <vt:lpstr>ADp90</vt:lpstr>
      <vt:lpstr>ADW%</vt:lpstr>
      <vt:lpstr>Int.p90</vt:lpstr>
      <vt:lpstr>Goalp90</vt:lpstr>
      <vt:lpstr>xGp90</vt:lpstr>
      <vt:lpstr>HeadGoalp90</vt:lpstr>
      <vt:lpstr>Shotp90</vt:lpstr>
      <vt:lpstr>ShotTarget%</vt:lpstr>
      <vt:lpstr>GoalConv%</vt:lpstr>
      <vt:lpstr>Assistp90</vt:lpstr>
      <vt:lpstr>xAp90</vt:lpstr>
      <vt:lpstr>Succ. Dribble %</vt:lpstr>
      <vt:lpstr>Off Duels p90</vt:lpstr>
      <vt:lpstr>Off Duels Won %</vt:lpstr>
      <vt:lpstr>BoxTouch p90</vt:lpstr>
      <vt:lpstr>ProgRuns p90</vt:lpstr>
      <vt:lpstr>RecPass p90</vt:lpstr>
      <vt:lpstr>RecLongPass p90</vt:lpstr>
      <vt:lpstr>ShotAssist p90</vt:lpstr>
      <vt:lpstr>2nd Assist p90</vt:lpstr>
      <vt:lpstr>3rd Assist p90</vt:lpstr>
      <vt:lpstr>KeyPass p90</vt:lpstr>
      <vt:lpstr>PassFinal3rd p90</vt:lpstr>
      <vt:lpstr>PassPenaltyArea p90</vt:lpstr>
      <vt:lpstr>Acc.PassPenArea%</vt:lpstr>
      <vt:lpstr>ProgPass p90</vt:lpstr>
      <vt:lpstr>PenConv%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Jameson Ellis</dc:creator>
  <cp:lastModifiedBy>Jameson Ellis</cp:lastModifiedBy>
  <dcterms:created xsi:type="dcterms:W3CDTF">2025-09-03T10:55:33Z</dcterms:created>
  <dcterms:modified xsi:type="dcterms:W3CDTF">2025-11-14T01:46:56Z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2025-08-27T15:51:12Z</dcterms:created>
  <cp:revision>0</cp:revision>
</cp:coreProperties>
</file>